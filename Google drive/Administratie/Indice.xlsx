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ti" sheetId="1" r:id="rId5"/>
    <sheet state="visible" name="Muziek" sheetId="2" r:id="rId6"/>
    <sheet state="visible" name="Recensio" sheetId="3" r:id="rId7"/>
    <sheet state="visible" name="Toelichting" sheetId="4" r:id="rId8"/>
    <sheet state="visible" name="Cantica" sheetId="5" r:id="rId9"/>
    <sheet state="visible" name="Personages" sheetId="6" r:id="rId10"/>
    <sheet state="visible" name="Muziekstijl" sheetId="7" r:id="rId11"/>
    <sheet state="visible" name="Actoren" sheetId="8" r:id="rId12"/>
    <sheet state="visible" name="Historie" sheetId="9" r:id="rId13"/>
    <sheet state="visible" name="Relaties" sheetId="10" r:id="rId14"/>
    <sheet state="visible" name="Objectrelaties" sheetId="11" r:id="rId15"/>
    <sheet state="visible" name="Attribuutrelaties" sheetId="12" r:id="rId16"/>
    <sheet state="visible" name="Inzichten" sheetId="13" r:id="rId17"/>
    <sheet state="visible" name="Neologismen" sheetId="14" r:id="rId18"/>
    <sheet state="visible" name="Grappen" sheetId="15" r:id="rId19"/>
    <sheet state="visible" name="Spelen" sheetId="16" r:id="rId20"/>
    <sheet state="visible" name="Manipulaties" sheetId="17" r:id="rId21"/>
    <sheet state="visible" name="Fetisjismen" sheetId="18" r:id="rId22"/>
    <sheet state="visible" name="Ingredienten" sheetId="19" r:id="rId23"/>
    <sheet state="visible" name="1686-1688" sheetId="20" r:id="rId24"/>
    <sheet state="visible" name="Tijdlijn" sheetId="21" r:id="rId25"/>
    <sheet state="visible" name="1711-1712" sheetId="22" r:id="rId26"/>
    <sheet state="visible" name="Week 11111711" sheetId="23" r:id="rId27"/>
    <sheet state="visible" name="1630-1740" sheetId="24" r:id="rId28"/>
    <sheet state="visible" name="Dagschema" sheetId="25" r:id="rId29"/>
  </sheets>
  <definedNames>
    <definedName hidden="1" localSheetId="11" name="Z_40F1C311_8276_42C7_88A3_F1A33BF631D2_.wvu.FilterData">Attribuutrelaties!$A$1:$D$515</definedName>
  </definedNames>
  <calcPr/>
  <customWorkbookViews>
    <customWorkbookView activeSheetId="0" maximized="1" windowHeight="0" windowWidth="0" guid="{40F1C311-8276-42C7-88A3-F1A33BF631D2}" name="Subject"/>
  </customWorkbookViews>
</workbook>
</file>

<file path=xl/sharedStrings.xml><?xml version="1.0" encoding="utf-8"?>
<sst xmlns="http://schemas.openxmlformats.org/spreadsheetml/2006/main" count="7957" uniqueCount="3478">
  <si>
    <t>Canto</t>
  </si>
  <si>
    <t>Canticum</t>
  </si>
  <si>
    <t>Nr</t>
  </si>
  <si>
    <t>Blz</t>
  </si>
  <si>
    <t>Muziek</t>
  </si>
  <si>
    <t>Grap</t>
  </si>
  <si>
    <t>Recensio</t>
  </si>
  <si>
    <t>Perspectief</t>
  </si>
  <si>
    <t>Plot</t>
  </si>
  <si>
    <t>Jaar</t>
  </si>
  <si>
    <t>Datum</t>
  </si>
  <si>
    <t>Tijd</t>
  </si>
  <si>
    <t>Beschrijving</t>
  </si>
  <si>
    <t>Angst</t>
  </si>
  <si>
    <t>🎵</t>
  </si>
  <si>
    <t>Lichaam</t>
  </si>
  <si>
    <t>Emmy</t>
  </si>
  <si>
    <t>  1711</t>
  </si>
  <si>
    <t>11-11</t>
  </si>
  <si>
    <t>Vroeger moesten arme lieden vluchten om aan een wreed leven als lijfeigene te ontsnappen. Dit leidde tot verbanning, waarbij ze vogelvrij werden verklaard. Velen zwierven uit angst door bossen en vonden soms veiligheid in veengebieden. Premiejagers verdienden aan het vangen van deze vluchtelingen, die vaak publiekelijk werden terechtgesteld.</t>
  </si>
  <si>
    <t>Jagershut</t>
  </si>
  <si>
    <t>De jager observeert vanuit zijn schuilplaats een roodharig meisje dat zich uitkleedt bij een ven. Ze heet Emmy Nativus, herkenbaar aan een ketting met haar initialen. Hoewel de jager haar naakt bewondert, is hij zich niet bewust van zijn eigen bevooroordeelde blik. Emmy, hoewel kwetsbaar in de koude, geniet van het water en de natuur. Haar schoonheid en speelsheid zijn duidelijk zichtbaar. Terwijl ze zwemt, dwaalt haar geest af naar een eerdere liefdeservaring, en ze vraagt zich af wie de ware jager is in dit spel.</t>
  </si>
  <si>
    <t>Es</t>
  </si>
  <si>
    <t>  1708</t>
  </si>
  <si>
    <t>Emmy groeit op in een afgelegen gehucht, waar haar familie zwaar gebukt gaat onder het juk van pacht, schuld en sociale verwachtingen. Het gezin is verdeeld door trauma’s en een verstikkende dramadriehoek, met een moeder die slachtoffer speelt en een gewelddadige vader. Emmy probeert als kind haar gezin te redden, maar raakt daardoor zelf steeds meer beklemd. Haar jeugd wordt getekend door armoede, dwangarbeid en emotioneel misbruik. Uiteindelijk besluit ze te ontsnappen aan deze destructieve kringloop om te zoeken naar persoonlijke bevrijding en waardigheid.</t>
  </si>
  <si>
    <t>Klooster</t>
  </si>
  <si>
    <t>  1700</t>
  </si>
  <si>
    <t>Emmy Nativus, een jonge vrouw met een scherpe geest, groeit op in een strenge omgeving, waar haar nieuwsgierige aard vaak wordt bekritiseerd. Ze zoekt intellectuele en spirituele kennis in een stadsklooster en botst daar met de hypocrisie en machtsdynamiek van de abdis. Tegelijkertijd worstelt Emmy met innerlijke spanning tussen rede en geloof, terwijl ze probeert een diepere waarheid over zichzelf en Godsbewustzijn te ontdekken. Haar zoektocht naar harmonie wordt bemoeilijkt door externe conflicten en innerlijke dualiteit. Uiteindelijk ontwikkelt ze een holistische visie, waarin ze probeert alles samen te voegen tot een samenhangend geheel.</t>
  </si>
  <si>
    <t>Waterbevalling</t>
  </si>
  <si>
    <t>  1692</t>
  </si>
  <si>
    <t>Emmy Nativus zoekt zuivering, troost en verbinding in water, van haar geboorte tot volwassenheid. Haar diepe band met water weerspiegelt een zoektocht naar harmonie in een wereld vol ongemak en conflict. Van geboortebaden, natuurlijke dooprituelen en intiem samenzijn met vriendinnen tot ijskoude veenbadrituelen—water staat symbool voor zuivering, eenheid en spirituele wijsheid. Emmy's verhaal verweeft religieuze, natuurlijke en filosofische overpeinzingen, waarbij zij haar lichaam, geest en ziel blootlegt in haar waterwereld.</t>
  </si>
  <si>
    <t>Uitvlucht</t>
  </si>
  <si>
    <t>  1710</t>
  </si>
  <si>
    <t>8-6</t>
  </si>
  <si>
    <t>De achttienjarige Emmy Nativus vlucht weg om te ontsnappen aan een sombere lotsbestemming: een uitnodiging naar het kasteel van de landheer, vermoedelijk met sinistere bedoelingen. Geholpen door haar vader trekt ze richting vrijheid, maar haar angst blijkt een constructie die haar zelfvertrouwen, relaties en geloof ondermijnt. Emmy raakt vervreemd van zichzelf, anderen en God. Haar worsteling met de consequenties van haar keuzes en een diep ingesleten wantrouwen maken haar reis zwaar. Onderweg leert ze door reflectie, maar innerlijke vrijheid blijft haar ontglippen, niet in de laatste plaats door zorgen om schijnveiligheid en oude dogma’s.</t>
  </si>
  <si>
    <t>Huisvoogd</t>
  </si>
  <si>
    <t>De vader van Emmy is boos en jaloers over geldzaken, en beschuldigt "Moeder" van diefstal. Hij vernedert haar fysiek en verbaal, en rechtvaardigt zijn gedrag met bijbelteksten over onderdanigheid. Moeder probeert Emmy te betrekken bij het sussen van vaders woede en zijn financiële problemen, wat leidt tot Emmy's parentificatie. Later vindt Emmy een band met haar vader door samen met hem komische sketches op te voeren, zelfs wanneer dit potentieel gevaarlijk is.</t>
  </si>
  <si>
    <t>Vrijhaven</t>
  </si>
  <si>
    <t>Emmy groeit op in een strenggelovige omgeving, waar ze vaak worstelt met haar identiteit en de verwachtingen aan haar verbonden. Ze voelt zich bekeken en belemmerd, maar ontdekt een diep verlangen naar vrijheid en kennis. Familieconflicten, morele hypocrisie, en de zoektocht naar betekenis kleuren haar jeugd. Een idealistische en gedreven nieuwsgierigheid drijft haar naar hogere doelen, ondanks het dogmatische leven dat haar dreigt in te sluiten. Langzaam ontwikkelt ze haar eigen visie op geloof, autonomie en de menselijke geest, terwijl ze balanceert tussen haar diepgewortelde opvoeding en haar verlangen naar zelfontplooiing.</t>
  </si>
  <si>
    <t>Pelsjacht</t>
  </si>
  <si>
    <t>Emmy, een jonge vrouw, wordt beslopen en gevangen door een jager in het veenmoeras. Ze ervaart extreme angst, denkend aan het lot van geslachte dieren – een gruwel voor haar, aangezien ze vegetariër is en een afkeer heeft van geweld. De jager ontdoet haar van haar kleding, terwijl Emmy zich machteloos voelt. Verrassend genoeg voelt ze ook een vreemde opwinding bij deze onderwerping, een fantasie die ze eerder had.</t>
  </si>
  <si>
    <t>Vogelvrijen</t>
  </si>
  <si>
    <t>Emmy vlucht de wildernis in, vol twijfel over Gods wil en haar eigen lot. Ze sluit zich aan bij een groep 'vogelvrijen', buiten de maatschappij, waar ze ondanks de vijandigheid van de buitenwereld veiligheid vindt. Als nieuwkomer heeft ze de laagste rang en wordt ze onderworpen aan strenge regels en vernederingen. Ze worstelt met haar geloof en de aard van vrijheid, terwijl ze de zorg krijgt over een gehandicapt groepslid, ‘Einfach’, dat door de anderen wordt gemeden.</t>
  </si>
  <si>
    <t>Mensenjager</t>
  </si>
  <si>
    <t>🔁</t>
  </si>
  <si>
    <t>De tekst beschrijft een eenogige jager, voorheen stroper, die ondanks zijn roekeloze verleden populair was bij vrouwen en zelfs bij de adel. Hij had een zwakke, ziekelijke broer. Hun rijke vader verraadde beide zonen, wat hen ertoe aanzette om een ander pad te kiezen. De jager worstelt met zijn kinderwens en de angst dat zijn bloedlijn uitsterft. Hij put hoop uit religieuze teksten, maar de onvruchtbaarheid blijft een diepe zorg.</t>
  </si>
  <si>
    <t>Kijkdoos</t>
  </si>
  <si>
    <t>Emmy wordt gevangen door een jager die haar dwingt haar 'kijkdoos' te tonen. Dit roept bij hem herinneringen op aan Griekse mythen over Actaeon en Artemis, en aan zijn eigen verleden met een sekteleider en overspel. De jager worstelt met zijn angsten en het idee dat hij deze moet bevechten. Emmy realiseert zich dat de jager meer met zichzelf bezig is dan met haar.</t>
  </si>
  <si>
    <t>Jongeheer</t>
  </si>
  <si>
    <t>24-6</t>
  </si>
  <si>
    <t>Emmy wordt ontvoerd door een aantrekkelijke 'weiman' die haar met zachtheid behandelt, anders dan eerdere, afstotende jagers. Ze gebruikt haar uiterlijk en onthullende poses om hem te verleiden. Dit lukt: hij wordt verliefd en wil met haar trouwen, zelfs als dat hem strafbaar maakt. Een kus leidt tot een intense zoen, waarbij Emmy zich afvraagt of hij de ware is, terwijl in de duisternis haar angst voor een roofdierachtige intimiteit opspeelt.</t>
  </si>
  <si>
    <t>Landheer</t>
  </si>
  <si>
    <t>Het canto beschrijft een landheer die opgroeit op het landgoed 'Landkwaad', getekend door trauma's uit zijn jeugd. Hij bouwt een vesting met een buitenmuur om zich te beschermen, maar raakt hierdoor geïsoleerd. Zijn angst voor verlies en controle leidt tot wantrouwen en eenzaamheid. Tijdens een wapenstilstand steekt hij uit gekwetste trots een Franse soldaat neer. Later ontmoet hij op de markt een boerin, dochter van 'Mara', die hem uit zijn isolement lijkt te trekken.</t>
  </si>
  <si>
    <t>Moeder</t>
  </si>
  <si>
    <t>Een canto over een complexe moeder-dochterrelatie, waarin moeder haar eigen onzekerheden en religieuze dogma's projecteert op dochter Emmy. Emmy probeert hiermee om te gaan door aanpassingsgedrag, en zoekt tegelijkertijd naar haar eigen waarheid. De thuissituatie, gekenmerkt door onbegrip en machtsspel, escaleert in een gewelddadige confrontatie, waarbij Emmy zich verdedigt tegen de projecties van haar moeder.</t>
  </si>
  <si>
    <t>Pesters</t>
  </si>
  <si>
    <t>  1705</t>
  </si>
  <si>
    <t>Emmy's tienerjaren worden gekenmerkt door onzekerheid, pesterijen en seksuele intimidatie. Ze probeert aanvankelijk conflicten te vermijden, maar de incidenten stapelen zich op. Een traumatische ervaring in een kas, waar jongens zichzelf bevredigen in haar bijzijn, laat diepe sporen na. Later wordt ze in een klooster geplaatst, waar ook onbegrip heerst over haar ervaringen. Ze voelt zich door haar omgeving veroordeeld en worstelt met schaamte, controleverlies en morele vragen. Langzaam ontwikkelt ze strategieën om macht te herwinnen, maar de vraag blijft of dit haar psyche meer kwaad dan goed doet.</t>
  </si>
  <si>
    <t>Messing</t>
  </si>
  <si>
    <t>Het canto beschrijft Messing, een lesbische vrouw die in het klooster leeft en daar Abdis is geworden. Zij heeft een man die zij als 'drukmiddel' gebruikt, mogelijk om haar ware identiteit te verbergen of om haar doelen te bereiken. Emmy is een meisje dat het klooster bezoekt als novice. Messing, manipuleert haar omgeving, inclusief Emmy, door te preken over angst en controle. Emmy herkent haar eigen manipulatieve neigingen, die ze als bescherming gebruikt. Het gedicht toont een conflict binnen het klooster over doopnamen, waarbij de non die filosofische namen voorstelt uiteindelijk door Messing wordt verbannen, wat haar manipulatieve macht bevestigt.</t>
  </si>
  <si>
    <t>Wilschok</t>
  </si>
  <si>
    <t>Emmy staat in de kou, bang en in shock, overmand door angst en emoties. Haar geest strijdt met haar wil, verlangend naar controle te midden van een overweldigende situatie, veroorzaakt door een jager die haar bespiedt en angst inboezemt. Ze probeert haar angst te begrijpen en te accepteren, maar worstelt met aangeleerde reacties die haar verder in paniek jagen.</t>
  </si>
  <si>
    <t>Weemoed</t>
  </si>
  <si>
    <t xml:space="preserve">Emmy balanceert tussen oerangst en moed, terwijl de schrijver aankondigt dat ze zijn modegrillen moet ondergaan in de komende Noche Oscura. </t>
  </si>
  <si>
    <t>Maria</t>
  </si>
  <si>
    <t>De jager faalde tijdens een schiettraining, tot ergernis van de testofficier. Hij worstelt met zijn drankgebruik. Een migraine-aanval transporteert Emmy naar het verleden, waar ze de geboorte van een ziel meemaakt, Maria. Deze ziel wordt geassocieerd met Maria van Viadangos, die onstaat op een heilige plek tijdens een veldslag, een tijd van politieke spanningen tussen Alfonso van Aragón en Urraca van León.</t>
  </si>
  <si>
    <t>Schaduwvrees</t>
  </si>
  <si>
    <t>Maria is een non die leeft met diepgewortelde angst en een constante behoefte aan controle, mede door haar afkomst. Ze hoopt rust te vinden in het klooster, maar haar angst blijft haar achtervolgen, zelfs tijdens haar religieuze taken. Tijdens een kerkdienst meent ze haar zondige zelf te zien in een schaduw, wat later een misverstand blijkt te zijn. Haar verlangen naar de dood, veroorzaakt door haar gewetenswroeging en christelijke stress, botst met haar geloof. Uiteindelijk realiseert Maria zich dat haar angst haar compassie belemmert en haar egoïstisch maakt. Emmy, die een vergelijkbare innerlijke strijd heeft doorgemaakt, herkent Maria's worsteling en vraagt zich af of Maria haar eigen "hel" kan overwinnen.</t>
  </si>
  <si>
    <t>Wantrouwen</t>
  </si>
  <si>
    <t>Maria, door een koud en afstandelijk verleden diep gewond, wantrouwt mens en wereld. Haar hechting faalt; als kind zoekt ze troost in koekjes en klooster, maar blijft gevangen in angst. Op zoek naar vertrouwen verkent ze filosofieën, geloof en zelfinzicht, worstelt ze met spanning en wantrouwen, en verlangt ze naar verbinding. Toch blijft ze in een isolerende cyclus van zelfbescherming en onthechting. Haar zoektocht naar betekenis blijft onbeantwoord. Emmy, als grootmoedige stem, onderzoekt parallellen tussen ontmoediging en godsvertrouwen, en wordt de spiegelfiguur in een groter mysterie, Maria’s onvermogen te overstijgen.</t>
  </si>
  <si>
    <t>Leerhel</t>
  </si>
  <si>
    <t>Emmy ontdekt Maria’s levenspad, van rebellie tegen religie tot een spirituele reis in een klooster. Maria worstelt met de zoektocht naar waarheid, vrijheid en het geloof. Emmy voelt zich verbonden met Maria’s strijd, maar raakt overweldigd door eigen onzekerheid. Uiteindelijk leert Emmy via introspectie en fouten maken dat bevrijding uit lijden voortkomt uit aanvaarding en transformatie.</t>
  </si>
  <si>
    <t>Zodiak</t>
  </si>
  <si>
    <t>Emma, geboren in een sekte, krijgt van een profeet een symbolistisch geweven reisdeken die haar onbewust de filosofie van het leven, de cyclus van Samsara, openbaart. Als Emmy in dit doek valt tijdens haar migraine, verkent ze haar zielsherinneringen en ontluikt diepe wijsheid. Ze doorziet de leidende spirituele lessen van verlangen, lijden en harmonie door middel van antieke geschriften, astrologie en zielereizen. Door confrontaties met zonden en angsten van anderen leert ze over haar eigen schaduw. Tot slot keert Emmy terug tot de essentie van leven: loslaten van wensen en overgave aan een onpersoonlijk evenwicht.</t>
  </si>
  <si>
    <t>Lust</t>
  </si>
  <si>
    <t>Emma</t>
  </si>
  <si>
    <t>Het canto beschrijft een dag in een landelijke omgeving, waar de natuur ontwaakt met dierengeluiden en wind. Dit idyllische tafereel staat in contrast met de hyperseksualiteit van Emma, die voortdurend op zoek is naar gemeenschap en daarbij grenzen negeert. Haar losbandige levensstijl leidt haar naar 'Landkwaad', een landgoed dat als bordeel fungeert. Daar leeft ze haar lusten uit, maar vindt geen echte intimiteit of voldoening, waardoor ze steeds meer seks nodig heeft. Zelfs haar vader wordt slachtoffer van haar ongeremde lust.</t>
  </si>
  <si>
    <t>Voorspeller</t>
  </si>
  <si>
    <t>Het gedicht beschrijft Emmy's jeugd en haar observaties van het huwelijk van haar ouders. Haar moeder voorspelt vaak de toekomst, tot ergernis van haar afwezige vader. Emmy is getuige van de seksuele interacties van haar ouders vanuit haar bedstee in de woonkamer, wat haar een afkeer bezorgt. Haar zus, Emma, is daarentegen meer openhartig en begeerlijk. Het gedicht contrasteert hun ervaringen met seksualiteit en de maatschappelijke normen van die tijd.</t>
  </si>
  <si>
    <t>Beschuldigfraude</t>
  </si>
  <si>
    <t>Het canto beschrijft de complexe en vaak schadelijke relatie tussen twee zussen, Emmy en Emma. Emma manipuleert, bedriegt en beschuldigt Emmy voortdurend om zelf macht en aanzien te verkrijgen. Ze misbruikt familiebanden en zelfs schoolomgevingen voor haar eigen gewin. Emmy is keer op keer het slachtoffer van Emma's listen, wat leidt tot haar isolatie en straf, terwijl Emma ongestraft blijft.</t>
  </si>
  <si>
    <t>Brief</t>
  </si>
  <si>
    <t>Het canto vertelt het verhaal van Emmy, die brieven ontvangt van haar zus Emma. Hun vader, die niet kan lezen, onderschept de brieven, omdat ze mogelijk zijn eerdere seksleven verraden en hem confronteren met zijn daden. Emma schrijft over hun gedwongen vertrek, hun lijfeigenschap, en hoe de landheer haar moeder en haarzelf vernedert en misbruikt.</t>
  </si>
  <si>
    <t>Vulvangst</t>
  </si>
  <si>
    <t>Samenvatting</t>
  </si>
  <si>
    <t>Opera Emmy samengevat als Emmy ontwaakt naakt in het moeras bij de jager in een denkbeeldige brief aan haar zus Emma.</t>
  </si>
  <si>
    <t>Tante</t>
  </si>
  <si>
    <t xml:space="preserve">Een familiegeheim onthult zich: Moeder was eigenlijk het kind van haar grootvader die Tante (haar zus) verkrachtte. De familie zweeg hierover. Tante gaf levensadvies aan moeder over geduld en acceptatie. Oom was zwak en bang, kon tante niet beschermen. Hun zoon werd priester en hofkapelaan, beroemd om zijn directe prediking over echtelijke intimiteit. Na jaren mocht Emmy tante weer bezoeken tijdens haar ziekte. </t>
  </si>
  <si>
    <t>Profeet</t>
  </si>
  <si>
    <t>De profeet onderwijst de sacraliteit van lust en het belang van lichamelijkheid voor spirituele groei, verwijzend naar Indiase en bijbelse verhalen om religieuze taboes te ontkrachten. Hij preekt rationaliteit over het ontstaan van leven en hekelt bijgeloof en dogma’s.</t>
  </si>
  <si>
    <t>Kinks</t>
  </si>
  <si>
    <t>Emmy leest brieven van haar zus Emma, die over hun moeder als seksueel uitgebuite vrouw schrijven en reflecteren op taboes, verlangen en familiale geheimen. De familiegeschiedenis onthult pijnlijke gebeurtenissen, observaties, seksuele ervaringen en filosofische gedachten over menselijk gedrag. Emmy vraagt zich af in hoeverre deze verhalen waar zijn, en worstelt met haar eigen gevoelens, verlangens, en de verleidingen en trauma’s binnen haar omgeving.</t>
  </si>
  <si>
    <t>Convocatie</t>
  </si>
  <si>
    <t>‘Profeet‘ wordt uitgenodigd door de 'Bisschop' om te worden ontmaskerd als een valse profeet. De bisschop, die schaken oefent om verlies te aanvaarden, wint een debat met de profeet over geloof en wetenschap. De profeet doodt uit wraak de bisschop, maar wordt niet verdacht vanwege zijn "zwakke hart".</t>
  </si>
  <si>
    <t>Pollutie</t>
  </si>
  <si>
    <t>Barbie</t>
  </si>
  <si>
    <t>Magdalena</t>
  </si>
  <si>
    <t>Kwakjongens</t>
  </si>
  <si>
    <t>Geest</t>
  </si>
  <si>
    <t>De jager heeft meer met Emmy voor dan de jongelui uit haar jeugd.</t>
  </si>
  <si>
    <t>Lesbis</t>
  </si>
  <si>
    <t>De abdis vingert de nonnen en de jager doet dat bij Emmy.</t>
  </si>
  <si>
    <t>Spuitzwaaien</t>
  </si>
  <si>
    <t>Emmy trekt jongeheer af, die daarna wordt gedood.</t>
  </si>
  <si>
    <t>Vingerwijzing</t>
  </si>
  <si>
    <t>Emmy komt tot een hoogtepunt en overweegt te vluchten gezien de wensen die de Jager schijnt te hebben.</t>
  </si>
  <si>
    <t>Einfach</t>
  </si>
  <si>
    <t xml:space="preserve">🎤	</t>
  </si>
  <si>
    <t>Tongworstelen</t>
  </si>
  <si>
    <t>Emmy tongt, wordt gelikt en gaat de jager pijpen.</t>
  </si>
  <si>
    <t>Verkwistlist</t>
  </si>
  <si>
    <t>Jager beseft dat Emmy hem heeft verleid niet in haar klaar te komen.</t>
  </si>
  <si>
    <t>Vogelaar</t>
  </si>
  <si>
    <t>De Herder probeert het vrije vogeltje Emmy te vangen.</t>
  </si>
  <si>
    <t>Bruinragger</t>
  </si>
  <si>
    <t>Emmy verleidt de jager tot anale sex om haar maagdelijkheid te beschermen.</t>
  </si>
  <si>
    <t>Drinkzak</t>
  </si>
  <si>
    <t>Emmy moet bier drinken en zijn zak leegdrinken alvorens het ontmaagden.</t>
  </si>
  <si>
    <t>Schaken</t>
  </si>
  <si>
    <t>Emmy moet zich laten schaken in plaats van actief mee te bewegen.</t>
  </si>
  <si>
    <t>Braverkrachten</t>
  </si>
  <si>
    <t>Emmy nodigt uit tot verkrachten als laatste poging tot een hoogtepunt.</t>
  </si>
  <si>
    <t>Babypasta</t>
  </si>
  <si>
    <t>De babypasta van de jager heeft zich in Emmy genesteld.</t>
  </si>
  <si>
    <t>Breinscheten</t>
  </si>
  <si>
    <t>Emmy heeft verkeerde ideeen over de intenties van de jager en probeert daar onhandig op in te spelen.</t>
  </si>
  <si>
    <t>Mutisme</t>
  </si>
  <si>
    <t>Emmy besluit niet meer te spreken.</t>
  </si>
  <si>
    <t>Kruisgelofte</t>
  </si>
  <si>
    <t>Emmy gaat in benevelde toestand akkoord met de eisen van de jager als zijn fokteef en sektehoer.</t>
  </si>
  <si>
    <t>Lustmoord</t>
  </si>
  <si>
    <t>Landheer vermoord Emma in een vlaag van woede omdat hij denkt dat ze hem als zijn dochter gemaskerd heeft verleid.</t>
  </si>
  <si>
    <t>Martino</t>
  </si>
  <si>
    <t>Introductie van Martino die een gravin verkracht.</t>
  </si>
  <si>
    <t>Climax</t>
  </si>
  <si>
    <t>Ziel</t>
  </si>
  <si>
    <t>Engelennummer</t>
  </si>
  <si>
    <t>Gluurbuur</t>
  </si>
  <si>
    <t>Rukjemaker</t>
  </si>
  <si>
    <t>Sexitualiteit</t>
  </si>
  <si>
    <t>Helen</t>
  </si>
  <si>
    <t>Onbevlekt</t>
  </si>
  <si>
    <t>Fetisj</t>
  </si>
  <si>
    <t>Enmeshment</t>
  </si>
  <si>
    <t>Voorstpelling</t>
  </si>
  <si>
    <t>Sensualiteit</t>
  </si>
  <si>
    <t>Obsessie</t>
  </si>
  <si>
    <t>Objectificatie</t>
  </si>
  <si>
    <t>Lading</t>
  </si>
  <si>
    <t>🔇</t>
  </si>
  <si>
    <t>Schaamte</t>
  </si>
  <si>
    <t>Sluier</t>
  </si>
  <si>
    <t>Eli</t>
  </si>
  <si>
    <t>Verjachten</t>
  </si>
  <si>
    <t>Hoogmoed</t>
  </si>
  <si>
    <t>Svenska</t>
  </si>
  <si>
    <t>IJspool</t>
  </si>
  <si>
    <t>Svenska Poolse roots en haar ijskoude ontvangst in Zweden worden vermeld</t>
  </si>
  <si>
    <t>Wellust</t>
  </si>
  <si>
    <t>Samenvatting van opera Emma</t>
  </si>
  <si>
    <t>Kattekop</t>
  </si>
  <si>
    <t>Svenska is als een kat die een hond in haar klauwen vernietigd.</t>
  </si>
  <si>
    <t>Goud</t>
  </si>
  <si>
    <t>Kroeg</t>
  </si>
  <si>
    <t>De kroeg of herberg op de Landheer zijn landgoed is de plek waar zij de jager introduceert aan de sekte.</t>
  </si>
  <si>
    <t>Vergeving</t>
  </si>
  <si>
    <t>De Profeet predikt vergeving voor iedereen ook misdadigers.</t>
  </si>
  <si>
    <t>Bewonderfeest</t>
  </si>
  <si>
    <t>Svenska organiseert een feestje in de kroeg voor de jager zodat men haar kan bewonderen.</t>
  </si>
  <si>
    <t>Zelfaaier</t>
  </si>
  <si>
    <t>Svenska ontpot zich als narcist die de jager gebruikt als voeding.</t>
  </si>
  <si>
    <t>Zelfslachter</t>
  </si>
  <si>
    <t>Strikmandje</t>
  </si>
  <si>
    <t>Svenska als roodkapje gebruikt haar mandje als een valstrik.</t>
  </si>
  <si>
    <t>Sekste</t>
  </si>
  <si>
    <t>Apostelen</t>
  </si>
  <si>
    <t>Hier worden de zeven apostelen van de profeet voorgesteld.</t>
  </si>
  <si>
    <t>Prins-Bisschop</t>
  </si>
  <si>
    <t>Hier wordt de eerste prins-bisschop geintroduceerd.</t>
  </si>
  <si>
    <t>Intocht</t>
  </si>
  <si>
    <t>Schaal</t>
  </si>
  <si>
    <t>Schandaal</t>
  </si>
  <si>
    <t>Schandpaal</t>
  </si>
  <si>
    <t>Achtbaan</t>
  </si>
  <si>
    <t>Hebzucht</t>
  </si>
  <si>
    <t>Heidi</t>
  </si>
  <si>
    <t>Moraalboekhouder</t>
  </si>
  <si>
    <t>Emmy als jong kind deelt onschuldig en vrijgevig speelgoed. Haar moeder straft dit gedrag af en ontmoedigen het vanuit materialistische en statusgerichte overwegingen</t>
  </si>
  <si>
    <t>Marskramer</t>
  </si>
  <si>
    <t>Rentmeester</t>
  </si>
  <si>
    <t>Jachtvisser</t>
  </si>
  <si>
    <t>Voldaanvulling</t>
  </si>
  <si>
    <t>Duel</t>
  </si>
  <si>
    <t>Lesbijennen</t>
  </si>
  <si>
    <t>Luiheid</t>
  </si>
  <si>
    <t>Sophia</t>
  </si>
  <si>
    <t>Buren</t>
  </si>
  <si>
    <t>De tragische paranoia van 'Moeder' die, geteisterd door onverwerkte angsten, haar buren demoniseert en zich afsluit van de realiteit, terwijl haar omgeving machteloos toekijkt.</t>
  </si>
  <si>
    <t>Graf</t>
  </si>
  <si>
    <t>Emmy knielt voor het graf van Sophia en krijgt een brief van de onoprechter</t>
  </si>
  <si>
    <t>Audiëntie</t>
  </si>
  <si>
    <t>Emmy bezoekt periodiek de bisschop voor diensten</t>
  </si>
  <si>
    <t>Klerk</t>
  </si>
  <si>
    <t>De Klerk wordt geintroduceerd als parasiet die de raad en 'Rentmeester' voor zich wint tegen de 'Profeet'</t>
  </si>
  <si>
    <t>Thesaurier</t>
  </si>
  <si>
    <t>De boekhouder berekende hoeveel mannen de sektehoeren moesten bedienen om de stad tevreden te houden.</t>
  </si>
  <si>
    <t>Planning</t>
  </si>
  <si>
    <t>Een dagschema voor Emmy als sektehoer</t>
  </si>
  <si>
    <t>Onoprechter</t>
  </si>
  <si>
    <t>Het onterecht veroordelen van vrouwen door de 'Rechter'</t>
  </si>
  <si>
    <t>Onrechte</t>
  </si>
  <si>
    <t>Sophia wordt ten onrechte veroordeeld tot sektehoer.</t>
  </si>
  <si>
    <t>Meester-gezeltraject</t>
  </si>
  <si>
    <t>Emmy leert als meesteres gezellin Sophia de kneepjes van het sektehoer vak.</t>
  </si>
  <si>
    <t>Gulzigheid</t>
  </si>
  <si>
    <t>Greta</t>
  </si>
  <si>
    <t>Banket</t>
  </si>
  <si>
    <t>Vreetzak</t>
  </si>
  <si>
    <t>Woede</t>
  </si>
  <si>
    <t>Jeanne</t>
  </si>
  <si>
    <t>Beflap</t>
  </si>
  <si>
    <t>Muishouden</t>
  </si>
  <si>
    <t>Overdaad</t>
  </si>
  <si>
    <t>Vliegenzwam</t>
  </si>
  <si>
    <t>Braakbal</t>
  </si>
  <si>
    <t>Vergif</t>
  </si>
  <si>
    <t>Herenrecht</t>
  </si>
  <si>
    <t>Sadeeqat</t>
  </si>
  <si>
    <t>Slachter</t>
  </si>
  <si>
    <t>Overspel</t>
  </si>
  <si>
    <t>Landheer ontdekt dat Emma niet zijn kind is maar wel Emmy en vermoord de moeder</t>
  </si>
  <si>
    <t>Verscheping</t>
  </si>
  <si>
    <t>Emmy, die vrij door het huis van de jager en zijn vrouw mocht bewegen, werd ’s nachts overvallen door de schout en zijn gezellen. Ze werd mishandeld, misbruikt en in een hennepzak afgevoerd. Aan de haven bleek ze samen met Sadeeqat ontvoerd te zijn voor mensenhandel. Daar werden ze, na mishandeling en vernedering, verkocht als slaven aan een schip.</t>
  </si>
  <si>
    <t>Markt</t>
  </si>
  <si>
    <t>Woestijn</t>
  </si>
  <si>
    <t>Roddelen</t>
  </si>
  <si>
    <t>Liefde</t>
  </si>
  <si>
    <t>Agape</t>
  </si>
  <si>
    <t>Ikigai</t>
  </si>
  <si>
    <t>Zijn</t>
  </si>
  <si>
    <t>Geluk</t>
  </si>
  <si>
    <t>Pelgrimstocht</t>
  </si>
  <si>
    <t>Nawoord</t>
  </si>
  <si>
    <t>Schrikkeljaar</t>
  </si>
  <si>
    <t>Voorgelegd</t>
  </si>
  <si>
    <t>Reactie</t>
  </si>
  <si>
    <t>Aangepast</t>
  </si>
  <si>
    <t>Klaar</t>
  </si>
  <si>
    <t>Waardering</t>
  </si>
  <si>
    <t xml:space="preserve"> In de aanloop naar de climax zou je in de opbouw de spaningsboog kunnen vergroten door het ritme iets te variëren?</t>
  </si>
  <si>
    <t>Het eind is wat abrupt.</t>
  </si>
  <si>
    <t>Aan canto Vogelaar geef je een vrolijke deun mee, dat doet het wel.</t>
  </si>
  <si>
    <t>Bij Duel komt de dreiging wel naar voren, hoor ook stereo</t>
  </si>
  <si>
    <t xml:space="preserve">Markt </t>
  </si>
  <si>
    <t xml:space="preserve">Tongworstelen </t>
  </si>
  <si>
    <t>Dat klinkt goed! Dynamisch-spannend, frivool, spottend, mooie spanningsboog. Past wel bij de tekst die ik las over de schandaalopera.</t>
  </si>
  <si>
    <t>Tijdstempel</t>
  </si>
  <si>
    <t>Was de openingszin pakkend?</t>
  </si>
  <si>
    <t>Is het thema of de boodschap helder en consistent?</t>
  </si>
  <si>
    <t>Trof je unieke en verrassende metaforen om ideeën te versterken aan?</t>
  </si>
  <si>
    <t>Smaakt het naar meer?  Nodigt de afsluitende zin je uit om verder te lezen?</t>
  </si>
  <si>
    <t>Vond je het deuntje fijn om te horen?</t>
  </si>
  <si>
    <t>Was de tekst duidelijk en begrijpelijk?</t>
  </si>
  <si>
    <t>In welke mate ervoer je humor, die de tekst licht of speels maakte?</t>
  </si>
  <si>
    <t>In welke mate ervoer je een mysterie of puzzel waardoor je je een detective voelde?</t>
  </si>
  <si>
    <t>Hoe ervaarde je het ritme en de klank?</t>
  </si>
  <si>
    <t>Hoe beoordeel je de canto in het algemeen</t>
  </si>
  <si>
    <t>In welke mate kun je je een voorstelling maken van de wereldse schets die wordt gedaan?</t>
  </si>
  <si>
    <t>In welke mate voel je je als lezer thuis in de zintuiglijke wereld die wordt beschreven?</t>
  </si>
  <si>
    <t>In welke mate worden de zonden en bijbehorende gevoelens voldoende geactiveerd?</t>
  </si>
  <si>
    <t>In welke mate kun je de gepresenteerde inzichten volgen?</t>
  </si>
  <si>
    <t>In welke mate roepen gepresenteerde inzichten een eigen bewustwordingsproces bij je op?</t>
  </si>
  <si>
    <t>Wat voelde je bij het lezen van deze canto?</t>
  </si>
  <si>
    <t>Welke zin of passage sprak je het meest aan?</t>
  </si>
  <si>
    <t>Zijn er delen waar je vastliep of vragen bij had?</t>
  </si>
  <si>
    <t>Wat zou je nog willen veranderen of verbeteren?</t>
  </si>
  <si>
    <t>Wil je een toelichting geven (bijvoorbeeld bij een meerkeuze antwoord geven)</t>
  </si>
  <si>
    <t>Ja</t>
  </si>
  <si>
    <t>Op dit punt vooral interesse. Ik ben meer bezig met de wereld vormen, dus echt concreet nadenken over grote onderwerpen ben ik nog niet aan toe.</t>
  </si>
  <si>
    <t>Het stuk over de dramadriehoek is een hele duidelijke en bondige manier om de karakters in te leiden. Maar vereist wel kennis van de lezer misschien?</t>
  </si>
  <si>
    <t>Ik snap de korte referentie naar Villa Volta niet echt. Misschien om aan te tonen dat het een beetje een wirwar is? Ik ben zelf nooit in die attractie geweest haha.</t>
  </si>
  <si>
    <t xml:space="preserve">Soms vraag ik me af of andere mensen je kunnen volgen als je Nederlandse woorden rijmt met Engelse of zelfverzonnen woorden. Dus “redder” en “shredder” leuk gevonden, maar ik vraag me af of dat voor anderen meteen duidelijk is? Gewoon even iets wat me opvalt, ook wel in de vorige twee kanto’s. Misschien hoeft daar niets mee. </t>
  </si>
  <si>
    <t>Niet zoveel.</t>
  </si>
  <si>
    <t>De eerste pagina vind ik heel mooi de wereld beschrijven. Dat zie ik helemaal voor me. Zelfs met die paar zinnen komt de hele wereld voor me.</t>
  </si>
  <si>
    <t>George Fox, Eshu en Hydra worden kennelijk geïntroduceerd, maar dat had ik eigenlijk niet echt door.</t>
  </si>
  <si>
    <t>Ja ik begin het een beetje te snappen hoe je het wil structureren. Ik vind de combinmet Ellert en Brammert mooi gecombineerd met existentiële onzekerheid.</t>
  </si>
  <si>
    <t>-</t>
  </si>
  <si>
    <t>Nee</t>
  </si>
  <si>
    <t>Het voelt nog als inleiding, dus ik merk dat ik vooral denk: “wat ben ik aan het lezen?”</t>
  </si>
  <si>
    <t xml:space="preserve">Lees deze wijze les,
maar eens in Lukas 6.
Leuk dat de verteller aan woord komt met een aanbeveling. </t>
  </si>
  <si>
    <t xml:space="preserve">Ik merk dat ik geen referentie heb naar het werk waar naar verwezen wordt. Dus dan verlies ik een beetje de boodschap denk ik. Als ik het goed heb, lees ik: - de vader van Emmy heeft geld angst en legt deze angst op moeder, wat doordruppelt op Emmy en zorgt voor overcompensatie aan haar kant: parentificatie. De rol draait om. 
- de vader van Emmy is geen fijne man, is ook mishandelend in die zin en heeft een machtspositie over het gezin. Ze zitten vast 
- het laatste stuk begrijp ik niet helemaal. Samen met pa gaat ze ouwehoeren in de hoop om geld van het klooster te ontvangen? Totdat ze gesnapt worden? Dus eigenlijk was het niet zo’n effectieve oefening. </t>
  </si>
  <si>
    <t>tot er uit het rijtuig “Wat een respectloos tuig” Twee keer tuig vind ik qua rijmen misschien niet zo chique. Maar ik snap ergens de link wel als woordspeling, misschien is die net wat duidelijker te maken?</t>
  </si>
  <si>
    <t>Injectie</t>
  </si>
  <si>
    <t>Herder</t>
  </si>
  <si>
    <t>Huishouden</t>
  </si>
  <si>
    <t>Walging</t>
  </si>
  <si>
    <t>Knel</t>
  </si>
  <si>
    <t>Gingerol</t>
  </si>
  <si>
    <t>Satansbruid</t>
  </si>
  <si>
    <t>Satan</t>
  </si>
  <si>
    <t>Dit bestand biedt een gestructureerd overzicht van alle elementen uit de trilogie Emmy Nativus, georganiseerd per werkblad.</t>
  </si>
  <si>
    <t>Tabblad</t>
  </si>
  <si>
    <t>Inhoud</t>
  </si>
  <si>
    <t>Cantica</t>
  </si>
  <si>
    <t>Opsomming van alle cantica, gekoppeld aan de opere en de trilogie.</t>
  </si>
  <si>
    <t>Personages</t>
  </si>
  <si>
    <t>Opsomming van alle personages en hun specifieke ingrediënten.</t>
  </si>
  <si>
    <t>Canti</t>
  </si>
  <si>
    <t>Opsomming van alle canto's en hun positie binnen de bijbehorende cantica.</t>
  </si>
  <si>
    <t>Muziekstijl</t>
  </si>
  <si>
    <t>Lijst van muziekstijlen die per canto gekozen kunnen worden, afhankelijk van de tijdsperiode waarin het canto zich afspeelt.</t>
  </si>
  <si>
    <t>Actoren</t>
  </si>
  <si>
    <t>Overzicht van alle actoren, ingedeeld in personages, rollen en figuranten.</t>
  </si>
  <si>
    <t>Historie</t>
  </si>
  <si>
    <t>Bronnen die geschiedkundig relevante gegevens ondersteunen.</t>
  </si>
  <si>
    <t>Relaties</t>
  </si>
  <si>
    <t>Overzicht van alle relaties tussen actoren.</t>
  </si>
  <si>
    <t>Objectrelaties</t>
  </si>
  <si>
    <t>Overzicht van alle relaties tussen personen en objecten.</t>
  </si>
  <si>
    <t>Attribuutrelaties</t>
  </si>
  <si>
    <t>Overzicht van alle attributen gekoppeld aan personen en objecten.</t>
  </si>
  <si>
    <t>Inzichten</t>
  </si>
  <si>
    <t>Overzicht van alle inzichten uit de mythologie, filosofie of religie.</t>
  </si>
  <si>
    <t>Neologismen</t>
  </si>
  <si>
    <t>Lijst van zelfverzonnen woorden of nieuwe betekenissen voor bestaande woorden.</t>
  </si>
  <si>
    <t>Grappen</t>
  </si>
  <si>
    <t>Overzicht van alle (woord)grappen die worden gebruikt.</t>
  </si>
  <si>
    <t>Spelen</t>
  </si>
  <si>
    <t>Opsomming van alle spelen uit *"Games People Play"* van Eric Berne, toegepast in specifieke canti.</t>
  </si>
  <si>
    <t>Manipulaties</t>
  </si>
  <si>
    <t>Opsomming van alle manipulaties zoals die bij de verschillende personages zijn toebedeeld.</t>
  </si>
  <si>
    <t>Fetisjismen</t>
  </si>
  <si>
    <t>Lijst van alle fetisjismen en de canto's waarin ze worden toegepast.</t>
  </si>
  <si>
    <t>Ingrediënten</t>
  </si>
  <si>
    <t>Opsomming van alle ingrediënten en hun onderdelen, gekoppeld aan specifieke canti.</t>
  </si>
  <si>
    <t>Tijdlijn</t>
  </si>
  <si>
    <t>Chronologisch overzicht van alle gebeurtenissen en de canto's waarin ze voorkomen.</t>
  </si>
  <si>
    <t>1686-1688</t>
  </si>
  <si>
    <t>Kalender van gebeurtenissen tussen 1686 en 1688 aangaande het ontstaan van de sekte.</t>
  </si>
  <si>
    <t>1711-1712</t>
  </si>
  <si>
    <t>Kalender van gebeurtenissen tussen 1711 en 1712 aangaande de vangst van Emmy.</t>
  </si>
  <si>
    <t>Week 11111711</t>
  </si>
  <si>
    <t>Weekagenda voor de week rondom 11 november 1711.</t>
  </si>
  <si>
    <t>1630-1740</t>
  </si>
  <si>
    <t>Lijst van gebeurtenissen die plaatsvonden tussen 1630 en 1740.</t>
  </si>
  <si>
    <t>Dagschema</t>
  </si>
  <si>
    <t>Een typische dagindeling van Emmy als sektehoer.</t>
  </si>
  <si>
    <t>Saga</t>
  </si>
  <si>
    <t>Emmy Nativus</t>
  </si>
  <si>
    <t>Trilogie</t>
  </si>
  <si>
    <t>nr</t>
  </si>
  <si>
    <t>trilogia</t>
  </si>
  <si>
    <t>inhoud</t>
  </si>
  <si>
    <t>Op jacht naar Emmy Nativus</t>
  </si>
  <si>
    <t>Symboliseert de fysieke reis en de zoektocht naar zelfontdekking. Het overwint angst, erkent lusten als primaire bron van menselijk handelen en zet hoogmoed opzij om de ware aard te omarmen.</t>
  </si>
  <si>
    <t>Gevangen in Emmy Nativus</t>
  </si>
  <si>
    <t>Verdiept de mentale worstelingen en onthult hoe copingmechanismen zoals hebzucht, luiheid en gulzigheid je gevangen houden.</t>
  </si>
  <si>
    <t>Bevrijd door Emmy Nativus</t>
  </si>
  <si>
    <t>Transformeert woede en jaloezie in spirituele actie, wat leidt tot bevrijding en vernieuwing</t>
  </si>
  <si>
    <t>Opere</t>
  </si>
  <si>
    <t>opera</t>
  </si>
  <si>
    <t>canticum</t>
  </si>
  <si>
    <t>canti</t>
  </si>
  <si>
    <t>tot</t>
  </si>
  <si>
    <t>Emmy’s Lichaam</t>
  </si>
  <si>
    <t>Emma’s Lichaam</t>
  </si>
  <si>
    <t>Emma’s Geest</t>
  </si>
  <si>
    <t>Emma’s Ziel</t>
  </si>
  <si>
    <t>Svenska’s Lichaam</t>
  </si>
  <si>
    <t>Svenska’s Geest</t>
  </si>
  <si>
    <t>Svenska’s Ziel</t>
  </si>
  <si>
    <t>Heidi’s Lichaam</t>
  </si>
  <si>
    <t>Heidi’s Geest</t>
  </si>
  <si>
    <t>Heidi’s Ziel</t>
  </si>
  <si>
    <t>Sophia’s Lichaam</t>
  </si>
  <si>
    <t>Sophia’s Geest</t>
  </si>
  <si>
    <t>Sophia’s Ziel</t>
  </si>
  <si>
    <t>Greta’s Lichaam</t>
  </si>
  <si>
    <t>Greta’s Geest</t>
  </si>
  <si>
    <t>Greta’s Ziel</t>
  </si>
  <si>
    <t>Jeanne’s Lichaam</t>
  </si>
  <si>
    <t>Jeanne’s Geest</t>
  </si>
  <si>
    <t>Jeanne’s Ziel</t>
  </si>
  <si>
    <t>Sadeeqat’s Lichaam</t>
  </si>
  <si>
    <t>Sadeeqat’s Geest</t>
  </si>
  <si>
    <t>Sadeeqat’s Ziel</t>
  </si>
  <si>
    <t>Agape’s Ziel</t>
  </si>
  <si>
    <t>X</t>
  </si>
  <si>
    <t>Personage</t>
  </si>
  <si>
    <t>Stem</t>
  </si>
  <si>
    <t>Gebod</t>
  </si>
  <si>
    <t>Religie</t>
  </si>
  <si>
    <t>Berg</t>
  </si>
  <si>
    <t>Chakra</t>
  </si>
  <si>
    <t>Dag</t>
  </si>
  <si>
    <t>Zegel</t>
  </si>
  <si>
    <t>Zonde</t>
  </si>
  <si>
    <t>Fetisjme</t>
  </si>
  <si>
    <t>Humor</t>
  </si>
  <si>
    <t>Plek</t>
  </si>
  <si>
    <t>Dood</t>
  </si>
  <si>
    <t>Menselijke rijm</t>
  </si>
  <si>
    <t>Duivelse rijm</t>
  </si>
  <si>
    <t>Heilige rijm</t>
  </si>
  <si>
    <t>Persoon</t>
  </si>
  <si>
    <t>Nederlands</t>
  </si>
  <si>
    <t>Manipulatie</t>
  </si>
  <si>
    <t>Latijn</t>
  </si>
  <si>
    <t>Peter Binsfeld</t>
  </si>
  <si>
    <t>Kwaal</t>
  </si>
  <si>
    <t>Verslaving</t>
  </si>
  <si>
    <t>Stoicijns Gif</t>
  </si>
  <si>
    <t>Hoe</t>
  </si>
  <si>
    <t>Wie</t>
  </si>
  <si>
    <t>Begrip</t>
  </si>
  <si>
    <t>Bewustzijn</t>
  </si>
  <si>
    <t>Verbondenheid</t>
  </si>
  <si>
    <t>Intentie</t>
  </si>
  <si>
    <t>Spraak</t>
  </si>
  <si>
    <t>Handeling</t>
  </si>
  <si>
    <t>Overgave</t>
  </si>
  <si>
    <t>Wijsheid</t>
  </si>
  <si>
    <t>Dienstbaarheid</t>
  </si>
  <si>
    <t>Dissociatie</t>
  </si>
  <si>
    <t>Geloof</t>
  </si>
  <si>
    <t>Dankbaarheid</t>
  </si>
  <si>
    <t>Nederigheid</t>
  </si>
  <si>
    <t xml:space="preserve">Gehoorzaamheid </t>
  </si>
  <si>
    <t>Schrijver</t>
  </si>
  <si>
    <t>Eerbied</t>
  </si>
  <si>
    <t>Boeddhisme</t>
  </si>
  <si>
    <t>Metus</t>
  </si>
  <si>
    <t>Ven</t>
  </si>
  <si>
    <t>Opening</t>
  </si>
  <si>
    <t>2 t/m 4</t>
  </si>
  <si>
    <t>Ondeugend en teasend</t>
  </si>
  <si>
    <t xml:space="preserve">Swadhisthana </t>
  </si>
  <si>
    <t>Donderdag</t>
  </si>
  <si>
    <t>Wit paard</t>
  </si>
  <si>
    <t>Schuld afschuiven of aanpraten, verleiden</t>
  </si>
  <si>
    <t>Luxuria</t>
  </si>
  <si>
    <t xml:space="preserve">Asmodeus </t>
  </si>
  <si>
    <t>Vaginale droogheid</t>
  </si>
  <si>
    <t>Manipulator</t>
  </si>
  <si>
    <t>Ni</t>
  </si>
  <si>
    <t xml:space="preserve">Furries, Dierenrolspel, Roleplay, Polygamie, Nymfomanie </t>
  </si>
  <si>
    <t>Groep</t>
  </si>
  <si>
    <t>Altaar</t>
  </si>
  <si>
    <t>Zelfmoord</t>
  </si>
  <si>
    <t>Loutering</t>
  </si>
  <si>
    <t>Empathische helper</t>
  </si>
  <si>
    <t>Uitzoomeffect</t>
  </si>
  <si>
    <t>5 t/m 7</t>
  </si>
  <si>
    <t>Direct, buitenlands</t>
  </si>
  <si>
    <t>God</t>
  </si>
  <si>
    <t>Islam</t>
  </si>
  <si>
    <t xml:space="preserve">Muladhara </t>
  </si>
  <si>
    <t>Vrijdag</t>
  </si>
  <si>
    <t>Rood paard</t>
  </si>
  <si>
    <t>Gaslighting, Love bombing</t>
  </si>
  <si>
    <t>Superbia</t>
  </si>
  <si>
    <t>Lucifer</t>
  </si>
  <si>
    <t>Dramaqueen</t>
  </si>
  <si>
    <t>Om</t>
  </si>
  <si>
    <t xml:space="preserve">Bondage, Dominantie, Leder, Uniform, Exhibitionisme </t>
  </si>
  <si>
    <t>Kut</t>
  </si>
  <si>
    <t>Bos</t>
  </si>
  <si>
    <t>Opgehangen</t>
  </si>
  <si>
    <t>Rechter</t>
  </si>
  <si>
    <t>Vernedering</t>
  </si>
  <si>
    <t>Reflectieve denker</t>
  </si>
  <si>
    <t>Identiteitsverwisseling</t>
  </si>
  <si>
    <t>8 t/m 10</t>
  </si>
  <si>
    <t>Bekakt en aristocratisch</t>
  </si>
  <si>
    <t>Moord</t>
  </si>
  <si>
    <t xml:space="preserve">Manipura </t>
  </si>
  <si>
    <t>Zaterdag</t>
  </si>
  <si>
    <t>Zwart paard</t>
  </si>
  <si>
    <t xml:space="preserve">Triangulatie, Chantage </t>
  </si>
  <si>
    <t>Avaritia</t>
  </si>
  <si>
    <t xml:space="preserve">Mammon </t>
  </si>
  <si>
    <t>Positivist</t>
  </si>
  <si>
    <t>Hum</t>
  </si>
  <si>
    <t xml:space="preserve">Objectumsexualiteit, Findom, Glamour, Hoarding </t>
  </si>
  <si>
    <t>Lesbie</t>
  </si>
  <si>
    <t>Stal</t>
  </si>
  <si>
    <t>Gewurgd</t>
  </si>
  <si>
    <t>Vergelding</t>
  </si>
  <si>
    <t>Tevreden minimalist</t>
  </si>
  <si>
    <t>Depersonalisatie</t>
  </si>
  <si>
    <t>11 t/m 13</t>
  </si>
  <si>
    <t>Goeroe-achtige</t>
  </si>
  <si>
    <t>Rust</t>
  </si>
  <si>
    <t>Vishuddha</t>
  </si>
  <si>
    <t>Zondag</t>
  </si>
  <si>
    <t>Bleek paard</t>
  </si>
  <si>
    <t>Stiltebehandeling, Selectieve doofheid</t>
  </si>
  <si>
    <t>Acedia</t>
  </si>
  <si>
    <t xml:space="preserve">Belphegor </t>
  </si>
  <si>
    <t>Fitheid omlaag</t>
  </si>
  <si>
    <t>Tijdsvampier</t>
  </si>
  <si>
    <t>Pad</t>
  </si>
  <si>
    <t>Ageplay, Voyeurisme, Sleep play, Voet</t>
  </si>
  <si>
    <t>Wurg</t>
  </si>
  <si>
    <t>Biechtstoel</t>
  </si>
  <si>
    <t>Uitgeput</t>
  </si>
  <si>
    <t>Stad</t>
  </si>
  <si>
    <t>Uitputting</t>
  </si>
  <si>
    <t>Gedisciplineerde leerder</t>
  </si>
  <si>
    <t xml:space="preserve">Tijdsvervorming </t>
  </si>
  <si>
    <t>14 t/m 16</t>
  </si>
  <si>
    <t>Kinderlijk</t>
  </si>
  <si>
    <t>Stelen</t>
  </si>
  <si>
    <t xml:space="preserve">Anahata </t>
  </si>
  <si>
    <t>Maandag</t>
  </si>
  <si>
    <t>Overdrijving, Zich van de domme houden</t>
  </si>
  <si>
    <t>Gula</t>
  </si>
  <si>
    <t xml:space="preserve">Beelzebub </t>
  </si>
  <si>
    <t>Spijsvertering</t>
  </si>
  <si>
    <t>Slachtoffer</t>
  </si>
  <si>
    <t>Voedingsfetisj, Liquid play, Inflatie</t>
  </si>
  <si>
    <t>Orgie</t>
  </si>
  <si>
    <t>Herberg</t>
  </si>
  <si>
    <t>Overdosis</t>
  </si>
  <si>
    <t>Zelf</t>
  </si>
  <si>
    <t>Onthouding</t>
  </si>
  <si>
    <t>De huidige moment genieter</t>
  </si>
  <si>
    <t>Visioen</t>
  </si>
  <si>
    <t>17 t/m 19</t>
  </si>
  <si>
    <t>Grof, simpel, boers, spaakwaterval</t>
  </si>
  <si>
    <t xml:space="preserve">Ajna </t>
  </si>
  <si>
    <t>Dinsdag</t>
  </si>
  <si>
    <t>Dag des Oordeels</t>
  </si>
  <si>
    <t>Intimidatie, Stonewalling</t>
  </si>
  <si>
    <t>Ira</t>
  </si>
  <si>
    <t xml:space="preserve">Satan </t>
  </si>
  <si>
    <t>Hoge bloeddruk</t>
  </si>
  <si>
    <t>Klager</t>
  </si>
  <si>
    <t>Dme</t>
  </si>
  <si>
    <t>SM, Destructie</t>
  </si>
  <si>
    <t>Occult</t>
  </si>
  <si>
    <t>Grot</t>
  </si>
  <si>
    <t>Brandstapel</t>
  </si>
  <si>
    <t xml:space="preserve">Ontmenselijking </t>
  </si>
  <si>
    <t>Verdrager</t>
  </si>
  <si>
    <t>Derealisatie</t>
  </si>
  <si>
    <t>20 t/m 22</t>
  </si>
  <si>
    <t>Slijmerig, geniepig kritisch</t>
  </si>
  <si>
    <t>Liegen</t>
  </si>
  <si>
    <t xml:space="preserve">Sahasrara </t>
  </si>
  <si>
    <t>Woensdag</t>
  </si>
  <si>
    <t>Half uur stilte</t>
  </si>
  <si>
    <t>Afgunst</t>
  </si>
  <si>
    <t>Spiegelen, Roddelen</t>
  </si>
  <si>
    <t>Invidia</t>
  </si>
  <si>
    <t xml:space="preserve">Leviathan </t>
  </si>
  <si>
    <t>CVS</t>
  </si>
  <si>
    <t>Criticus</t>
  </si>
  <si>
    <t>Ma</t>
  </si>
  <si>
    <t>Cuckolding, Triolisme, Idolisatie</t>
  </si>
  <si>
    <t>SM</t>
  </si>
  <si>
    <t>Schip</t>
  </si>
  <si>
    <t>Slang</t>
  </si>
  <si>
    <t>Ontaarding</t>
  </si>
  <si>
    <t>Eerlijke adviseur</t>
  </si>
  <si>
    <t>Uittredingservaring</t>
  </si>
  <si>
    <t>Amor</t>
  </si>
  <si>
    <t>Paleis</t>
  </si>
  <si>
    <t>Canticum Type</t>
  </si>
  <si>
    <t>Alles</t>
  </si>
  <si>
    <t>Stijl</t>
  </si>
  <si>
    <t>Uitleg</t>
  </si>
  <si>
    <t>Officiële Notatie</t>
  </si>
  <si>
    <t>Cantata</t>
  </si>
  <si>
    <t>Meerdelige vocale compositie met orkest, vaak religieus.</t>
  </si>
  <si>
    <t>Cantata in D maggiore, Andante religioso, per soprano, violini e basso continuo.</t>
  </si>
  <si>
    <t>Oratorium</t>
  </si>
  <si>
    <t>Grootschalige religieuze vocale compositie zonder theatrale elementen.</t>
  </si>
  <si>
    <t>Oratorium in G maggiore, Maestoso e narrativo, per coro, trombe e timpani.</t>
  </si>
  <si>
    <t>Motetus</t>
  </si>
  <si>
    <t>Polyfone zangcompositie, vaak religieus.</t>
  </si>
  <si>
    <t>Motetus in F modale, Moderato et contemplativo, per choros et organum.</t>
  </si>
  <si>
    <t>Chantus Gregoriana</t>
  </si>
  <si>
    <t>Monofone liturgische zang in het Latijn.</t>
  </si>
  <si>
    <t>Chantus Gregoriana in D modale, Solemnis, per choros monofonicos.</t>
  </si>
  <si>
    <t>Tropus Kyrie</t>
  </si>
  <si>
    <t>Toevoegingen aan bestaande liturgische gezangen.</t>
  </si>
  <si>
    <t>Tropus Kyrie in G modale, Gravis et meditativus, per unisonos voces.</t>
  </si>
  <si>
    <t>Sequentia Victimae paschali laudes</t>
  </si>
  <si>
    <t>Doorlopende gezangen met vaste structuur.</t>
  </si>
  <si>
    <t>Sequentia Victimae paschali laudes in C modale, Devoto et elaborato, per choros mixtos.</t>
  </si>
  <si>
    <t>Ordo Quem Quaeritis</t>
  </si>
  <si>
    <t>Religieuze toneelstukken met gezongen dialogen.</t>
  </si>
  <si>
    <t>Ordo Quem Quaeritis in F modale, Narrativus et solemnis, per choros alternatim.</t>
  </si>
  <si>
    <t>Ballata Douce dame jolie</t>
  </si>
  <si>
    <t>Liedvorm met coupletten en refreinen, vaak liefdesliederen.</t>
  </si>
  <si>
    <t>Ballata Douce dame jolie in G modale, Dolce e poetico, per voce et liuto.</t>
  </si>
  <si>
    <t>Rondeau</t>
  </si>
  <si>
    <t>Cirkelvormige liedstructuur met herhalingen.</t>
  </si>
  <si>
    <t>Rondeau Ma fin est mon commencement in E modale, Vivace e lirico, per tre voci.</t>
  </si>
  <si>
    <t>Estampie La Manfredina</t>
  </si>
  <si>
    <t>Instrumentale dansmuziek, vaak improvisatorisch.</t>
  </si>
  <si>
    <t>Estampie La Manfredina in C modale, Vivace et saltando, per viella et flautus.</t>
  </si>
  <si>
    <t>Concerto grosso</t>
  </si>
  <si>
    <t>Instrumentale compositie met solisten en orkest.</t>
  </si>
  <si>
    <t>Concerto grosso in G minore, Allegro e contrastante, per archi e clavicembalo.</t>
  </si>
  <si>
    <t>Opera Rinaldo</t>
  </si>
  <si>
    <t>Theatrale zangcompositie met orkest en drama.</t>
  </si>
  <si>
    <t>Opera Rinaldo in D maggiore, Drammatico e sensuale, per coro, archi e basso continuo.</t>
  </si>
  <si>
    <t>Choral</t>
  </si>
  <si>
    <t>Eenvoudige vierstemmige hymnen.</t>
  </si>
  <si>
    <t>Choral in E maggiore, Maestoso e universale, per coro et organo.</t>
  </si>
  <si>
    <t>Actor</t>
  </si>
  <si>
    <t>Naam</t>
  </si>
  <si>
    <t>Emmy Nativus, een jonge vrouw wordt vogelvrij verklaard en beland in de sekte Pandemonium.</t>
  </si>
  <si>
    <t>Emma Nativus is de stiefzus van Emmy en een dochter van de ‘Profeet‘.</t>
  </si>
  <si>
    <t>Svenska Lis, een narcistische vrouw die mannen manipuleert en doodt uit wraak.</t>
  </si>
  <si>
    <t>Dochter van een rijk gezin, sluit zich aan bij een roversbende die haar heeft ontvoerd nadat haar familie geen losgeld betaalde.</t>
  </si>
  <si>
    <t>Sophia Kreuz, symbool voor spirituele luiheid, speelde doofstom en werkte hard als naaister.</t>
  </si>
  <si>
    <t>Greta Rot, als dienstmeisje verslaafd aan overdaad, snoepte te veel, werd ontslagen, viel uit een boom bij een bijennest, werd opgevangen in een herberg en verkocht aan de sekte.</t>
  </si>
  <si>
    <t>Is aangerand door de ‘Rechter’ en leidt het verzet. Saboteert stiekem de sekte en krijgt de ‘Rentmeester’ uit zijn positie.</t>
  </si>
  <si>
    <t>Haar naam betekent ‘vriendinnen‘ en staat voor ‘waarheid‘ of ‘oprechtheid‘, terwijl ze jaloers is op Emmy en haar heimelijk probeert te beschadigen.</t>
  </si>
  <si>
    <t>Agape staat symbool voor onvoorwaardelijke liefde, wordt opgevoed door ‘de Jager’, maar gered door haar biologische opa de ‘Landheer’. Ze groeit uit tot een vrouwelijke messias.</t>
  </si>
  <si>
    <t>Maria, een onervaren ziel, werd verwekt tijdens een heilig feest ter ere van Martinus van Tours, in de nasleep van de veldslag bij Viadangos.</t>
  </si>
  <si>
    <t>Een soldaat die zich volledig overgeeft aan de zeven hoofdzonden en sterft op 11 november 1411. In het Italië van de Renaissance was Martino een soldaat van fortuin in dienst van Braccio da Montone.</t>
  </si>
  <si>
    <t>Een wijze oude man die op 11 november 2011 verlicht raakt. Hij leeft in Nederland op een Waddeneiland met zijn vrouw. Samen verkennen zij hun seksuele fantasieën om meer over zichzelf te leren.</t>
  </si>
  <si>
    <t>Rol</t>
  </si>
  <si>
    <t>‘Vrouw‘</t>
  </si>
  <si>
    <t>Sprekend gelijkend op Emmy. Intiem onderdanig, maar dominant in het dagelijks leven.</t>
  </si>
  <si>
    <t>‘Profeet‘</t>
  </si>
  <si>
    <t>Charismatisch grondlegger van Pandemonium, met zeven vrouwelijke apostelen met wie hij intieme relaties onderhield.</t>
  </si>
  <si>
    <t>‘Jager‘</t>
  </si>
  <si>
    <t>Mensenjager, richt zich op vrouwelijke vogelvrij verklaarden als inkomstenbron voor mensenhandel.</t>
  </si>
  <si>
    <t>‘Landheer‘</t>
  </si>
  <si>
    <t>Een machtig landheer, die met zijn leger Pandemonium verwoestte.</t>
  </si>
  <si>
    <t>‘Priester‘</t>
  </si>
  <si>
    <t>Voor zijn benoeming ‘Verminkte’ genoemd, omdat hij het syndroom van Treacher Collins heeft.</t>
  </si>
  <si>
    <t>‘Moeder‘</t>
  </si>
  <si>
    <t>Huwde de onvruchtbare ‘Stiefvader‘ om schande te vermijden en hem kinderen te gunnen.</t>
  </si>
  <si>
    <t>’Huisvoogd‘</t>
  </si>
  <si>
    <t>Ook ‘Vader’ genoemd, is net als zijn broer onvruchtbaar. Heeft Emma en Emmy geadopteerd als zijn kinderen.</t>
  </si>
  <si>
    <t>‘Herder‘</t>
  </si>
  <si>
    <t>Voormalig struikrover, nu leider van een roedel vogelvrijen.</t>
  </si>
  <si>
    <t>‘Einfach‘</t>
  </si>
  <si>
    <t>Geestelijk beperkt, voormalig tamboer, gevlucht na pesterijen. Opgenomen bij de vogelvrijen van zijn broer ‘Herder‘.</t>
  </si>
  <si>
    <t>‘Bisschop 1‘</t>
  </si>
  <si>
    <t>Maximiliaan Hendrik van Beieren, die regeerde van 1683 tot zijn dood in 1688​, speelt de rol van de bisschop die de sekte probeert te ondermijnen maar wordt vergiftigd door de profeet</t>
  </si>
  <si>
    <t>‘Bisschop 2‘</t>
  </si>
  <si>
    <t>Friedrich Christian von Plettenberg van 1688-1906 speelt een ambitieuze slimme bisschop die profiteert van corruptie, een geheime relatie heeft met de apostel ‘Kobalt’ en de ‘Profeet’ laat vermoorden.</t>
  </si>
  <si>
    <t>‘Bisschop 3‘</t>
  </si>
  <si>
    <t>Frans Arnold van Wolff-Metternich zur Gracht (1706–1718) speelt de rol van de bisschop die de steun aan Pandemonium intrekt wat tot de val leidt</t>
  </si>
  <si>
    <t>‘Bisschop 4‘</t>
  </si>
  <si>
    <t>Clemens August I van Beieren van 1719-1761 speelt de bisschop die uit wraak Agape tot de brandstapel laat veroordelen</t>
  </si>
  <si>
    <t>‘Rentmeester‘</t>
  </si>
  <si>
    <t>Een talentloze, autoriteitsgevoelige, technocratische kanunnik die door kritiekloze gehoorzaamheid en vleierij richting de ‘Bisschop’ voorzitter van de raad werd.</t>
  </si>
  <si>
    <t>‘Rechter‘</t>
  </si>
  <si>
    <t>Een handige parasiet die meesterlijk het web van de sekte binnendringt om geld, aanzien en vrouwen te bemachtigen.</t>
  </si>
  <si>
    <t>‘Schout‘</t>
  </si>
  <si>
    <t>Leert uit zijn moord op de ‘Profeet’ pas zijn leer te begrijpen en waarderen.</t>
  </si>
  <si>
    <t>‘Tailleur‘</t>
  </si>
  <si>
    <t>De verzorger van kleding aan de sekte en een zorgzame stiefvader van Sophia.</t>
  </si>
  <si>
    <t>‘Bakker‘</t>
  </si>
  <si>
    <t>Organiseert en verzorgt de orgiën. Verlaat zijn vrouw zodra hij vermoedt dat Greta niet van hem.</t>
  </si>
  <si>
    <t>‘Sultan‘</t>
  </si>
  <si>
    <t>Handelt in vrouwen voor zijn eigen of andere harems.</t>
  </si>
  <si>
    <t>‘Wijze‘</t>
  </si>
  <si>
    <t>Het archetype van de oude wijze man.</t>
  </si>
  <si>
    <t>‘Goud‘</t>
  </si>
  <si>
    <t>Charismatisch woordvoerder, trekt nieuwe volgelingen aan en beïnvloedt politiek.</t>
  </si>
  <si>
    <t>‘Brons‘</t>
  </si>
  <si>
    <t>Stille mediator die interne conflicten balanceert.</t>
  </si>
  <si>
    <t>‘Koper‘</t>
  </si>
  <si>
    <t>Een dienstmeisje dat rituelen en logistiek beheert.</t>
  </si>
  <si>
    <t>‘Kwik‘</t>
  </si>
  <si>
    <t>Grillige katalysator met transformerende invloed binnen en buiten de sekte.</t>
  </si>
  <si>
    <t>‘Messing‘</t>
  </si>
  <si>
    <t>Combineert creativiteit en diplomatie in de organisatie met opportunisme en verraad.</t>
  </si>
  <si>
    <t>‘Zilver‘</t>
  </si>
  <si>
    <t>Haar albinisme geeft haar unieke schoonheid maar ook uitdagingen in een afwijzende gemeenschap.</t>
  </si>
  <si>
    <t>‘Kobalt‘</t>
  </si>
  <si>
    <t>Opereert als stille kracht voor veiligheid en mystiek.</t>
  </si>
  <si>
    <t>‘Abdis‘</t>
  </si>
  <si>
    <t>Is ‘Messing‘ nadat ze aangesteld als abdis in het klooster van Emmy als deal voor geheimhouding over wantoestanden in Pandemonium</t>
  </si>
  <si>
    <t>‘Tante‘</t>
  </si>
  <si>
    <t>Zus van 'Moeder' en tante van Emmy</t>
  </si>
  <si>
    <t>Figurant</t>
  </si>
  <si>
    <t>‘Bikkel‘</t>
  </si>
  <si>
    <t>Een stoere knappe jongeman die met Emmy flirte</t>
  </si>
  <si>
    <t>‘Proost‘</t>
  </si>
  <si>
    <t>Zoekt steun van de ‘Landheer‘ bij zijn mogelijke benoeming tot prins-bisschop</t>
  </si>
  <si>
    <t>Aspect</t>
  </si>
  <si>
    <t>Bron</t>
  </si>
  <si>
    <t>Feit</t>
  </si>
  <si>
    <t>Bier</t>
  </si>
  <si>
    <t>infonu.nl</t>
  </si>
  <si>
    <t xml:space="preserve">In de middeleeuwen werd bier vaak gedronken als alternatief voor water, omdat het alcoholpercentage in bier zorgde voor een hygiënischere drank dan het vaak vervuilde water. </t>
  </si>
  <si>
    <t>Vogelvrij</t>
  </si>
  <si>
    <t>Wikipedia</t>
  </si>
  <si>
    <t>Vogelvrijverklaarden hadden geen wettelijke bescherming en leefden vaak geïsoleerd in wouden of veengebieden.</t>
  </si>
  <si>
    <t>Lijfeigene</t>
  </si>
  <si>
    <t>Gevluchte lijfeigenen konden heel soms worden geconfronteerd met een vogelvrijverklaring.</t>
  </si>
  <si>
    <t>Het concept van individuen die werden ingehuurd om vogelvrijverklaarden op te sporen en te straffen is consistent met historische praktijken.</t>
  </si>
  <si>
    <t>Sint-Maarten</t>
  </si>
  <si>
    <t xml:space="preserve">Het Sint-Maartensfeest, gevierd op 11 november, heeft diepe historische wortels in Europa, waaronder in regio's zoals Meppen. </t>
  </si>
  <si>
    <t>Naaktheid</t>
  </si>
  <si>
    <t>DBNL</t>
  </si>
  <si>
    <t>Openbare naaktheid werd in de stedelijke gebieden als zeer ongepast beschouwd. Vrouwen waren bedekt met meerdere lagen kleding, en het tonen van het lichaam, vooral in gemengde gezelschappen, was taboe. Het beschreven gedrag van Emmy zou destijds als schokkend en ongepast zijn gezien, terwijl in de landelijke gebieden naaktzwemmen als functioneel kon worden beschouwd.</t>
  </si>
  <si>
    <t>Dialect</t>
  </si>
  <si>
    <t>In de 18e eeuw sprak het gewone volk rondom Meppen voornamelijk Niederdeutsch Platt.</t>
  </si>
  <si>
    <t>Emsland</t>
  </si>
  <si>
    <t>Tijdschrift voor historische geografie</t>
  </si>
  <si>
    <t>Het Emsland kenmerkt zich door veengebieden, bossen en meren. Het beschrijven van een ven (klein meer) en omliggende natuur komt overeen met de geografische realiteit van de regio.</t>
  </si>
  <si>
    <t>Bespieden</t>
  </si>
  <si>
    <t>NRC</t>
  </si>
  <si>
    <t>Jagen was een gangbare bezigheid, maar het bespieden van vrouwen zou als immoreel en strafbaar worden beschouwd.</t>
  </si>
  <si>
    <t>Gelleterdheid</t>
  </si>
  <si>
    <t>Nationaal Archief</t>
  </si>
  <si>
    <t>In de 18e eeuw was het in Duitsland gebruikelijk dat jagers jachtvergunningen bij zich droegen, vooral wanneer ze op het land van edelen jaagden. Deze vergunningen waren vaak schriftelijke documenten die toestemming gaven voor de jachtactiviteiten. Het archief van de Houtvesterij van Holland en West-Friesland bevat bijvoorbeeld stukken betreffende jachtvergunningen en financiële zaken uit die periode.</t>
  </si>
  <si>
    <t>Geletterdheid</t>
  </si>
  <si>
    <t>Scandinavian Journal of History</t>
  </si>
  <si>
    <t>In de 18e eeuw was het lees- en schrijfvaardigheidsniveau onder jagers en vergelijkbare beroepen vaak beperkt, vooral in landelijke gebieden. Echter, afhankelijk van de regio en het specifieke beroep, konden sommige jagers basisvaardigheden in lezen en schrijven hebben, vooral als hun werkzaamheden dit vereisten.</t>
  </si>
  <si>
    <t>Vogelvrijverklaring</t>
  </si>
  <si>
    <t>Landheer met macht over boeren en invloed op gemeenschap.</t>
  </si>
  <si>
    <t>Armoede</t>
  </si>
  <si>
    <t>Canon van Nederland</t>
  </si>
  <si>
    <t>Armoede en uitbuiting kenmerkten het plattelandsleven in de 18e eeuw.</t>
  </si>
  <si>
    <t>Sociale hiërarchie</t>
  </si>
  <si>
    <t>Digitale Bibliotheek Overijssel</t>
  </si>
  <si>
    <t>De landheer verhoogde de pacht, waardoor boeren vaak in financiële problemen kwamen.</t>
  </si>
  <si>
    <t>Droit de seigneur</t>
  </si>
  <si>
    <t>Historia.net</t>
  </si>
  <si>
    <t>Het recht van de eerste nacht werd soms misbruikt, maar was vaak niet wettelijk afdwingbaar in de 18e eeuw.</t>
  </si>
  <si>
    <t>Schuldslavernij</t>
  </si>
  <si>
    <t xml:space="preserve">Schuldslavernij, waarbij een schuldenaar zijn vrijheid verpandt en zijn schuld niet kan afbetalen, was een bekende praktijk. </t>
  </si>
  <si>
    <t>Ja-knikken</t>
  </si>
  <si>
    <t>De verhalen van Groningen</t>
  </si>
  <si>
    <t>Het was gebruikelijk dat boeren zich aanpasten aan de omstandigheden en conflicten vermeden om hun toch al kwetsbare positie niet verder te verslechteren.</t>
  </si>
  <si>
    <t>Lijfstraffen</t>
  </si>
  <si>
    <t>Zeeuwse ankers</t>
  </si>
  <si>
    <t>In de 17e eeuw waren lijfstraffen een gangbare methode om discipline af te dwingen, zowel thuis als op school.</t>
  </si>
  <si>
    <t>Vrouwenrechten</t>
  </si>
  <si>
    <t xml:space="preserve">In de periode rond 1700 hadden vrouwen in Europa, inclusief regio's zoals Meppen, over het algemeen een ondergeschikte positie ten opzichte van mannen. </t>
  </si>
  <si>
    <t>Cisterciënzer Kloosterstijl</t>
  </si>
  <si>
    <t>De gotische architectuur van het klooster weerspiegelt de eenvoud en functionaliteit die kenmerkend waren voor Cisterciënzer gemeenschappen</t>
  </si>
  <si>
    <t>Begijnen</t>
  </si>
  <si>
    <t>Begijnen werkten in lekenonderwijs, wat een brug sloeg tussen het kloosterleven en de wereld buiten</t>
  </si>
  <si>
    <t>Kloosterligging</t>
  </si>
  <si>
    <t>Adoc</t>
  </si>
  <si>
    <t>In regio's zoals Meppen en Emmen stonden veel kloosters op verhoogde terreinen vanwege de drassige omgeving​</t>
  </si>
  <si>
    <t>Ophaalbruggen</t>
  </si>
  <si>
    <t>Google Sites</t>
  </si>
  <si>
    <t>Moerassen en ophaalbruggen waren vaak verdedigingsmaatregelen tegen invallers​</t>
  </si>
  <si>
    <t>Kerkelijke Hiërarchie</t>
  </si>
  <si>
    <t>De bisschoppen hadden invloed op de benoeming van abdissen, zoals in het geval van "Messing," wat laat zien hoe kerk en politiek verweven waren</t>
  </si>
  <si>
    <t>Kloostertaken</t>
  </si>
  <si>
    <t>Cultureel erfgoed</t>
  </si>
  <si>
    <t>Landbouw en ambachten, zoals het onderhouden van moestuinen en boomgaarden, waren essentieel voor het levensonderhoud van de gemeenschap​</t>
  </si>
  <si>
    <t>Daginleding klooster</t>
  </si>
  <si>
    <t>Een typische dag was strikt gestructureerd met gebedstijden (getijdengebeden), landbouwactiviteiten en onderwijs​. Klokken in de torens dienden om monniken en nonnen te verzamelen voor gebeden​</t>
  </si>
  <si>
    <t>Marxists.org</t>
  </si>
  <si>
    <t>Landheren gebruikten economische macht om boeren te dwingen tot onvrijwillige handelingen.</t>
  </si>
  <si>
    <t>Bevalling</t>
  </si>
  <si>
    <t>GeheugenvanNederland</t>
  </si>
  <si>
    <t>Het bijstaan van een bevalling door een medicus was in 1700 bisdom Münster ongebruikelijk, maar mogelijk.</t>
  </si>
  <si>
    <t>NPOkennis</t>
  </si>
  <si>
    <t>Bevallingen in de vroegmoderne periode (rond 1700) vonden meestal thuis plaats, vaak met hulp van vroedvrouwen en vrouwelijke familieleden of buren.</t>
  </si>
  <si>
    <t xml:space="preserve">Vogelvrijverklaring </t>
  </si>
  <si>
    <t>DNBL</t>
  </si>
  <si>
    <t>Vogelvrijverklaring was een wettig middel dat door vorsten werd gebruikt tegen personen die ernstige vergrijpen hadden begaan.</t>
  </si>
  <si>
    <t xml:space="preserve">Armoede </t>
  </si>
  <si>
    <t>Universiteit Maastricht</t>
  </si>
  <si>
    <t>Het plattelandsleven in de 18e eeuw werd gekenmerkt door armoede</t>
  </si>
  <si>
    <t>Dwangarbeid</t>
  </si>
  <si>
    <t>ANW</t>
  </si>
  <si>
    <t>In het systeem van lijfeigenschap konden de vrouw en dochter van een lijfeigene verplicht worden om op het landgoed van de landheer te werken</t>
  </si>
  <si>
    <t>Houten wieg</t>
  </si>
  <si>
    <t>KNAW</t>
  </si>
  <si>
    <t>Eind 17e eeuw waren de wiegjes voor baby's van hout</t>
  </si>
  <si>
    <t>Ellert en Brammert</t>
  </si>
  <si>
    <t xml:space="preserve">De oudst bekende versie van Ellert en Brammert werd in 1660 opgetekend door dominee Johan Picardt in zijn "Annales Drenthiae". </t>
  </si>
  <si>
    <t>Rule of thumb</t>
  </si>
  <si>
    <t>In Engeland gold ‘the rule of thumb’ genoemd (de stok waarmee geslagen werd, mocht niet dikker zijn dan een duim). In Duitsland en Nederland was de wetgeving minder expliciet, maar werd het vaak gedoogd.</t>
  </si>
  <si>
    <t>Macht binnen het huwelijk</t>
  </si>
  <si>
    <t>UvT</t>
  </si>
  <si>
    <t>Een vrouw werd verantwoordelijk gehouden voor het welzijn van haar man, zowel in praktische als in emotionele en seksuele zin.</t>
  </si>
  <si>
    <t>Huishoudbeurs</t>
  </si>
  <si>
    <t>The Gentleman's Daughter</t>
  </si>
  <si>
    <t>Het was in veel Europese huishoudens gebruikelijk dat vrouwen een bepaald huishoudbudget kregen. Dit stond vaak bekend als "de huishoudkas" of "de huishoudbeurs" en was bedoeld voor dagelijkse uitgaven zoals eten, kaarsen, linnengoed en andere basisbehoeften.</t>
  </si>
  <si>
    <t>Schaamklep</t>
  </si>
  <si>
    <t>De schaamklep, ook wel een "schaamflap" of "codpiece" genoemd in het Engels, diende oorspronkelijk als praktische bescherming en afdekking van de schaamstreek, met name toen kledingstijlen veranderden en mannen broeken begonnen te dragen die in het kruis open konden zijn.</t>
  </si>
  <si>
    <t>Rijkstaler</t>
  </si>
  <si>
    <t>Onsvoorgeslacht.nl</t>
  </si>
  <si>
    <t>In het bisdom Münster aan het einde van de 17e eeuw was de gangbare munt de Reichstaler (of Rijkstaler), een veelgebruikte munt in het Heilige Roomse Rijk. Daarnaast werden kleinere eenheden zoals Groschen en Pfennige gebruikt voor dagelijkse transacties.</t>
  </si>
  <si>
    <t>Pacht</t>
  </si>
  <si>
    <t>Stellingwerven</t>
  </si>
  <si>
    <t>Pacht kwam veelvuldig voor, vooral in de kleigebieden, waar eigenaar-gebruikers een minderheid vormden</t>
  </si>
  <si>
    <t>Onderwijs</t>
  </si>
  <si>
    <t>Begijnen werkten in lekenonderwijs, wat een brug sloeg tussen het kloosterleven en de wereld buiten.</t>
  </si>
  <si>
    <t>Onderwijs bestond destijds uit taal en religie, pushte door competitie en vroeg veel discipline.</t>
  </si>
  <si>
    <t>Onderwijsmuseum</t>
  </si>
  <si>
    <t>Men leerde in eigen tempo zonder vaste klassen, hardop waarbij de oudere leerlingen de jongere steunden, met rekenen als duur vak.</t>
  </si>
  <si>
    <t>Pandemonium</t>
  </si>
  <si>
    <t>Het boek waarin de naam Pandemonium voor het eerst voorkwam is "Paradise Lost" van John Milton gepubliceerd in 1667. In dit epische gedicht wordt Pandemonium beschreven als de hoofdstad of citadel van de Hel</t>
  </si>
  <si>
    <t>Schaamlap</t>
  </si>
  <si>
    <t>Bordeel</t>
  </si>
  <si>
    <t>Transarchief</t>
  </si>
  <si>
    <t>Aan het einde van de 16e eeuw fungeerden herbergen vaak als dekmantel voor bordelen.</t>
  </si>
  <si>
    <t>Meisjes kregen ook beperkt toegang tot het onderwijs</t>
  </si>
  <si>
    <t>SHSEL</t>
  </si>
  <si>
    <t>Meestal begonnen kinderen rond 6-jarige leeftijd met school en bleven ze tot ongeveer 12 jaar</t>
  </si>
  <si>
    <t>Pythagoras</t>
  </si>
  <si>
    <t>Brittanica</t>
  </si>
  <si>
    <t>Pythagoras (6e eeuw v.Chr.) stond er historisch om bekend dat hij vegetarisme en een geweldloze omgang met dieren propageerde.</t>
  </si>
  <si>
    <t>Franciscus van Assisi</t>
  </si>
  <si>
    <t>Franciscus van Assisi (1181/1182–1226) predikte liefde voor de natuur en alle schepselen; hij wordt vaak in verband gebracht met dierenwelzijn en eenvoud.</t>
  </si>
  <si>
    <t>Stoofpot</t>
  </si>
  <si>
    <t>Oneindig Noord-Holland</t>
  </si>
  <si>
    <t>In Noord-Europa at men eind 17e eeuw regelmatig stoofpotten. Deze gerechten waren een belangrijk onderdeel van de dagelijkse voeding, vooral voor de gewone bevolking.</t>
  </si>
  <si>
    <t>Vlees</t>
  </si>
  <si>
    <t>Uva</t>
  </si>
  <si>
    <t>Een halve of hele os werd geslacht, waarvan een gedeelte werd ingezouten en een ander werd gerookt. Het gezouten vlees werd gewoonlijk iedere zondag een stuk gekookt en in de loop van de week geconsumeerd.</t>
  </si>
  <si>
    <t>Plantaardig dieet</t>
  </si>
  <si>
    <t>CultureScope</t>
  </si>
  <si>
    <t>Een volledig plantaardig dieet was eind 17e eeuw in boerenomgevingen niet gebruikelijk en zou als uitzonderlijk worden beschouwd.</t>
  </si>
  <si>
    <t>Lamslachterij</t>
  </si>
  <si>
    <t>In veel christelijke gemeenschappen was (en is) het gebruikelijk lammeren rond zes maanden te slachten voor het Paasfeest.</t>
  </si>
  <si>
    <t>Alcohol</t>
  </si>
  <si>
    <t>IsGeschiedenis</t>
  </si>
  <si>
    <t>Kinderen dronken bier in de middeleeuwen.</t>
  </si>
  <si>
    <t>HelloBier</t>
  </si>
  <si>
    <t>Bier was in de middeleeuwen ook een bron van energie en voedingsstoffen.</t>
  </si>
  <si>
    <t>15-6-1580</t>
  </si>
  <si>
    <t>Willem van Oranje</t>
  </si>
  <si>
    <t>Militair.net</t>
  </si>
  <si>
    <t>Op 15 juni 1580 vaardigde koning Filips II van Spanje een vogelvrijverklaring tegen Willem van Oranje uit.</t>
  </si>
  <si>
    <t>Hoogfeest Petrus en Paulus</t>
  </si>
  <si>
    <t>KRO-NCRV</t>
  </si>
  <si>
    <t>Het hoogfeest van Petrus en Paulus op 29 juni werd in veel katholieke gemeenschappen gevierd, waarbij (wit)vis soms een traditioneel gerecht was, mede omdat Petrus als visser wordt vereerd.</t>
  </si>
  <si>
    <t>Historiek</t>
  </si>
  <si>
    <t>Dorpelingen kwamen minder in contact met mensen van buitenaf, waardoor hun dialect minder snel veranderde</t>
  </si>
  <si>
    <t>Tamboer</t>
  </si>
  <si>
    <t>Grenadiercompagnie</t>
  </si>
  <si>
    <t>Men kon tamboer worden in het leger, een belangrijke rol bij het doorgeven van bevelen en taken in het garnizoen, bivak en te velde door middel van trommelgeluiden en signalen.</t>
  </si>
  <si>
    <t>Staar</t>
  </si>
  <si>
    <t>All about vision</t>
  </si>
  <si>
    <t>Staar, waarbij een troebele ooglens soms regenboogkleuren kan reflecteren als een kerstboom, was in de premoderne tijd een veelvoorkomende aandoening en werd vaak geassocieerd met ouderdom.</t>
  </si>
  <si>
    <t>Vagabonden</t>
  </si>
  <si>
    <t>REPUB.EUR.NL</t>
  </si>
  <si>
    <t>In premoderne samenlevingen waren zwervende personen vaak ex-soldaten, bedelaars of vogelvrijverklaarden, die door het landschap trokken en overleefden door werk, diefstal of bedelarij.</t>
  </si>
  <si>
    <t>Pijl en boog</t>
  </si>
  <si>
    <t>Jacht met pijl en boog was een gangbare praktijk, hoewel het in reservaten of op adellijke gronden vaak verboden was voor niet-adellijke jagers.</t>
  </si>
  <si>
    <t>Jachtreservaten</t>
  </si>
  <si>
    <t>Jachtreservaten waren vaak eigendom van de adel en verboden voor gewone mensen. Stroperij werd zwaar bestraft.</t>
  </si>
  <si>
    <t>Lijfeigenschap</t>
  </si>
  <si>
    <t>In de feodale tijd waren sommige mensen gebonden aan een heer als lijfeigene en konden ze niet vrij reizen of werk zoeken zonder toestemming.</t>
  </si>
  <si>
    <t>Personen die vogelvrij werden verklaard, verloren hun wettelijke bescherming en konden straffeloos worden gedood.</t>
  </si>
  <si>
    <t>Sociale onrust</t>
  </si>
  <si>
    <t>Stedelijke opstanden tegen de adel of overheid kwamen vaker voor in perioden van economische en politieke onrust, waarbij stedelingen en arbeiders zich organiseerden tegen onderdrukking.</t>
  </si>
  <si>
    <t>Sektevorming</t>
  </si>
  <si>
    <t>New Advent</t>
  </si>
  <si>
    <t>Sektarische bewegingen ontstonden vaak als reactie op religieuze of politieke onderdrukking en trokken vaak achtergestelden aan die bescherming zochten.</t>
  </si>
  <si>
    <t>Olympus en Griekse goden</t>
  </si>
  <si>
    <t>De Griekse goden werden door de eeuwen heen als symbolische figuren gebruikt in maatschappijkritiek en verzet tegen dogmatische religies.</t>
  </si>
  <si>
    <t>Landaanwinning</t>
  </si>
  <si>
    <t>National Geographic</t>
  </si>
  <si>
    <t>In Nederland werden dijken en droogmakerijen aangelegd om land te winnen uit de zee. Dit proces begon al in de middeleeuwen en werd in de 17e en 18e eeuw geïndustrialiseerd.</t>
  </si>
  <si>
    <t>Recht van opstrek</t>
  </si>
  <si>
    <t>Cultureel Erfgoed</t>
  </si>
  <si>
    <t>Dit was een gewoonterecht waarbij iemand die nieuw land drooglegde, aanspraak kon maken op eigendom ervan.</t>
  </si>
  <si>
    <t>Pachtcontracten</t>
  </si>
  <si>
    <t>NazatendeVries</t>
  </si>
  <si>
    <t>Boeren huurden vaak land van adel of rijke landheren tegen langdurige contracten, waarbij inflatie de werkelijke opbrengst voor de eigenaar kon verhogen.</t>
  </si>
  <si>
    <t>Duitse seizoenarbeiders</t>
  </si>
  <si>
    <t>Vijfeeuwenmigratie</t>
  </si>
  <si>
    <t>In de 17e en 18e eeuw kwamen veel Duitse seizoenarbeiders naar Nederland om in de landbouw en turfwinning te werken.</t>
  </si>
  <si>
    <t>Turfwinning</t>
  </si>
  <si>
    <t>TerugInDrenthe</t>
  </si>
  <si>
    <t>Turfwinning was een belangrijke energiebron in Nederland, en veel arbeiders kwamen uit Duitsland om hierin te werken.</t>
  </si>
  <si>
    <t>Zedenmisdrijven en eer</t>
  </si>
  <si>
    <t>Isgeschiedenis</t>
  </si>
  <si>
    <t>In veel traditionele samenlevingen werd eer zeer hoog gehouden, en zedenschandalen konden leiden tot verstoting of drastische maatregelen binnen families.</t>
  </si>
  <si>
    <t>Kinderloosheid en erfopvolging</t>
  </si>
  <si>
    <t>AdelInNederland</t>
  </si>
  <si>
    <t>In aristocratische en boerenfamilies was het hebben van een mannelijke erfgenaam cruciaal voor de voortzetting van de naam en het bezit.</t>
  </si>
  <si>
    <t>Religieuze hoop op vruchtbaarheid</t>
  </si>
  <si>
    <t>Theologie.nl</t>
  </si>
  <si>
    <t>In religieuze contexten werd onvruchtbaarheid vaak als een beproeving gezien en werd er geloofd dat God wonderen kon verrichten om een kind te schenken.</t>
  </si>
  <si>
    <t>National Gallery</t>
  </si>
  <si>
    <t>In de 17e eeuw werden er “perspectiefkasten” of “kijkdozen” gemaakt, waarin met spiegels en schilderkunst driedimensionale illusies werden gecreëerd. Samuel van Hoogstraten (1627–1678) maakte bijvoorbeeld dergelijke “peepshows” als kunstzinnige en optische demonstratie.</t>
  </si>
  <si>
    <t>Mecenaat</t>
  </si>
  <si>
    <t>Literatuurgeschiedenis</t>
  </si>
  <si>
    <t>In de 17e eeuw was het gebruikelijk dat rijke families of welgestelde individuen kunst en cultuur financierden als ‘mecenas’, waardoor kunstenaars (schilders, schrijvers, architecten) zich konden wijden aan hun werk zonder financiële zorgen, terwijl de mecenas er prestige en invloed mee verwierf.</t>
  </si>
  <si>
    <t>Griekse mythen</t>
  </si>
  <si>
    <t>Nemo Kennislink</t>
  </si>
  <si>
    <t>In de 16e en 17e eeuw verspreidde de culturele elite in West-Europa de kennis van de klassieke oudheid (onder meer de mythen van Zeus, Artemis, Actaeon), zodat veel adellijke en geleerde personen vertrouwd raakten met Griekse mythologische verhalen.</t>
  </si>
  <si>
    <t xml:space="preserve">Vogelvrijverklaarde </t>
  </si>
  <si>
    <t>Vogelvrijverklaarden verloren in sommige delen van het Heilige Roomse Rijk en de Nederlanden hun wettelijke bescherming. Eenieder mocht zo iemand straffeloos doden, wat in de 16e en 17e eeuw — afhankelijk van streek en rechtspraak — daadwerkelijk voorkwam.</t>
  </si>
  <si>
    <t>Johannes de Doper’s vreugdevuren</t>
  </si>
  <si>
    <t>Op of rond 24 juni (het feest van Johannes de Doper) ontstond in diverse katholieke gebieden de traditie van vreugdevuren (Sint-Jansvuren). Deze vormde een volksgewoonte rond de zonnewende in de zomer.</t>
  </si>
  <si>
    <t>Drooglegging</t>
  </si>
  <si>
    <t>Veengebieden waren moerassig tot ze werden drooggelegd voor landbouw.</t>
  </si>
  <si>
    <t>Wegenaanleg</t>
  </si>
  <si>
    <t>Aanleg van wegen volgde doorgaans op de drooglegging van moerassen.</t>
  </si>
  <si>
    <t>Hongersnood</t>
  </si>
  <si>
    <t>Hongersnoden traden vaak op tijdens belegeringen vanwege geblokkeerde toevoer van voedsel.</t>
  </si>
  <si>
    <t>Vesting</t>
  </si>
  <si>
    <t>Vestingen werden belegerd als militaire strategie, met grote impact op bevolking.</t>
  </si>
  <si>
    <t>Woontoren</t>
  </si>
  <si>
    <t>Woontorens waren versterkte gebouwen met zowel verdedigings- als woonfunctie.</t>
  </si>
  <si>
    <t>Havezate</t>
  </si>
  <si>
    <t>Een havezate was een versterkt huis van adel met speciale rechten binnen een landgoed.</t>
  </si>
  <si>
    <t>Franse soldaten</t>
  </si>
  <si>
    <t>Franse soldaten waren actief in Europa, vaak betrokken bij conflicten zoals de Zevenjarige Oorlog en de Spaanse Successieoorlog.</t>
  </si>
  <si>
    <t>Savate</t>
  </si>
  <si>
    <t>Savate, een Franse vechtsport met voettrappen, was destijds bekend en beoefend in Marseille als Chausson.</t>
  </si>
  <si>
    <t>Hofmeester</t>
  </si>
  <si>
    <t>Hofmeesters beheerden de financiën van een landgoed of huishouden.</t>
  </si>
  <si>
    <t>Handelaren &amp; markt</t>
  </si>
  <si>
    <t>Markten waren essentieel voor lokale economieën, waar boeren en handelaren hun waren aanboden.</t>
  </si>
  <si>
    <t>Bedstee</t>
  </si>
  <si>
    <t>In de agrarische samenleving rond 1700 waren bedsteden – ingebouwde slaapnissen met deuren of gordijnen – algemeen in gebruik bij boerengezinnen in Nederland en aangrenzend Noord-Duitsland.</t>
  </si>
  <si>
    <t>Bonobo</t>
  </si>
  <si>
    <t>In de 18e eeuw ontstond de hardnekkige fabel dat mannelijke mensapen zich seksueel vergrepen aan vrouwen.</t>
  </si>
  <si>
    <t>Glazen kas</t>
  </si>
  <si>
    <t>Bij een rijke landheer of adellijke eigenaar was het mogelijk om een vorm van kas of oranjerie te hebben, vooral in de 17e en 18e eeuw.</t>
  </si>
  <si>
    <t xml:space="preserve">Scheepsarts op de VOC </t>
  </si>
  <si>
    <t>Zeeuws archief</t>
  </si>
  <si>
    <t>De Vereenigde Oostindische Compagnie (VOC) was een Nederlandse handelsorganisatie in de 17e en 18e eeuw, met scheepsartsen aan boord tijdens de reizen naar Azië.</t>
  </si>
  <si>
    <t xml:space="preserve">Malaria </t>
  </si>
  <si>
    <t xml:space="preserve">Zeelieden en reizigers van de VOC liepen vaak malaria op in tropische gebieden; vele stierven door gebrek aan kennis en adequate behandeling. </t>
  </si>
  <si>
    <t>17e eeuwse filosofen</t>
  </si>
  <si>
    <t>John Locke, Pierre Bayle, Gottfried Leibniz, René Descartes, Baruch Spinoza waren invloedrijke filosofen uit de 17e eeuw die een priester na 1700 zou kunnen kennen.</t>
  </si>
  <si>
    <t xml:space="preserve">Puducherry </t>
  </si>
  <si>
    <t>Puducherry gov</t>
  </si>
  <si>
    <t>Oorspronkelijk een Franse kolonie vanaf de late 17e eeuw (1674); sommige Europese avonturiers of scheepslieden reisden via deze havenstad naar andere gebieden in Azië.</t>
  </si>
  <si>
    <t xml:space="preserve">Hindoeïsme en VOC </t>
  </si>
  <si>
    <t>Zeelieden, handelspostmedewerkers en scheepsartsen kwamen via inheemse tolken en lokale geleerden in contact met hindoeïstische tradities.</t>
  </si>
  <si>
    <t>Clowns</t>
  </si>
  <si>
    <t>MAAC</t>
  </si>
  <si>
    <t>Harlekijn (Arlecchino) ontstond in de Italiaanse Commedia dell’Arte (16e eeuw) en verspreidde zich in de 17e en 18e eeuw over Europa. De Pierrot-figuur (eerst Pedrolino genoemd) kwam in de late 17e eeuw in Frankrijk in zwang, met kenmerkende witte schmink en mime-achtige expressies, en stond model voor latere clownspersonages.</t>
  </si>
  <si>
    <t>Naaktslapen</t>
  </si>
  <si>
    <t>Door het ontbreken van moderne ventilatie en verbintenissen met natuurlijke koelmethoden, sliepen bewoners vaak zonder kleding in warme zomernachten. Dit was vooral gangbaar in plattelandsgebieden waar zware stoffen en bedden weinig comfort boden in de hitte.</t>
  </si>
  <si>
    <t>Brandalarm</t>
  </si>
  <si>
    <t>Universiteit van Leiden</t>
  </si>
  <si>
    <t>In de 17de eeuw werden branden gezien als een groot gevaar, omdat bouwmaterialen (zoals hout en stro) uiterst brandbaar waren en brandblusmethoden minimaal. Het roepen van "brand" zorgde vaak voor onmiddellijke paniek en actie; bewoners verlieten huizen zo snel mogelijk om asfixiatie en instorting te voorkomen.</t>
  </si>
  <si>
    <t>Schietoefening</t>
  </si>
  <si>
    <t>Riahorter.com</t>
  </si>
  <si>
    <t>In veel politieke en sociale contexten van de middeleeuwen werd de jacht niet alleen gezien als een sport, maar ook als een training voor militair gebruik. Schietproeven waren een gebruikelijke test voor vaardigheden met wapens.</t>
  </si>
  <si>
    <t>Geboren met de helm</t>
  </si>
  <si>
    <t>Geboren worden met een vlies over het hoofd, "met de helm", werd in de middeleeuwen als een teken van geluk en voorspoed gezien. Dit type geboorte kreeg vaak mystieke associaties, zoals het kind dat "uitverkoren" was.</t>
  </si>
  <si>
    <t>Slag bij Viadangos</t>
  </si>
  <si>
    <t>De Slag bij Viadangos was een conflict binnen de christelijke kampen.</t>
  </si>
  <si>
    <t>Martinus van Tours</t>
  </si>
  <si>
    <t>Martinus van Tours was in de middeleeuwen een van de populairste heiligen in Europa, met een enorme verspreiding van zijn verering, mede door de invloed van Franse kloosters en pelgrimsroutes die ook door Spanje liepen</t>
  </si>
  <si>
    <t>Alfons I van Aragón</t>
  </si>
  <si>
    <t>Alfonso was weinig diplomatiek, stond bekend om zijn militaire agressie en wreedheid, en werd zelfs door Moorse kroniekschrijvers als vrouwenhatend omschreven</t>
  </si>
  <si>
    <t>Urraca van Castilië en León</t>
  </si>
  <si>
    <t>Doña Urraca (Burgos, 10 april 1079 - Saldaña, 8 maart 1126) was koningin van Castilië en León van 1109 tot aan haar dood.</t>
  </si>
  <si>
    <t>Huwelijksstrijd</t>
  </si>
  <si>
    <t>Spaanse verhalen</t>
  </si>
  <si>
    <t>Het huwelijk tussen Alfonso en Urraca werd vanaf het begin gekenmerkt door hevig verzet van verschillende politieke en kerkelijke facties, vooral omdat veel Castiliaanse en Leonese edelen een Aragonese vorst niet accepteerden en liever Urraca’s zoon uit haar eerste huwelijk als troonopvolger zagen</t>
  </si>
  <si>
    <t>Hervencias de Ávila</t>
  </si>
  <si>
    <t>Een beruchte (maar historisch betwiste) gebeurtenis uit 1111, waarbij volgens de overlevering koning Alfonso I van Aragón 60 gijzelaars uit Ávila liet ombrengen.</t>
  </si>
  <si>
    <t>Reconquista</t>
  </si>
  <si>
    <t>Het christelijke noorden onder constante druk van de islamitische gebieden in het zuiden, die tot het begin van de 11e eeuw werden gedomineerd door het machtige kalifaat Córdoba.</t>
  </si>
  <si>
    <t>Kloosterleven</t>
  </si>
  <si>
    <t>AbsoluteFacts</t>
  </si>
  <si>
    <t>Middeleeuwse kloosters speelden een cruciale rol in de samenleving. Monniken legden strenge geloften af (armoede, kuisheid, gehoorzaamheid) en volgden een vast dagschema van bidden en werken (ora et labora)</t>
  </si>
  <si>
    <t>Beschermingskruisen</t>
  </si>
  <si>
    <t>Sargasso</t>
  </si>
  <si>
    <t>In het volksgeloof gebruikte men afweerkruisen bij boerderijen om oogst en vee te beschermen tegen het kwaad.</t>
  </si>
  <si>
    <t xml:space="preserve">Mariabeeldjes </t>
  </si>
  <si>
    <t>Histories.be</t>
  </si>
  <si>
    <t>Het is een oude katholieke devotie om bij Mariabeeldjes votieve offers te brengen – bijvoorbeeld bloemen neerleggen of kaarsen branden</t>
  </si>
  <si>
    <t xml:space="preserve">Landbouwterrassen </t>
  </si>
  <si>
    <t xml:space="preserve">MDPI </t>
  </si>
  <si>
    <t>Om in heuvel- en berggebied succesvol te boeren, legden middeleeuwse gemeenschappen vaak terrassen aan op steile hellingen.</t>
  </si>
  <si>
    <t>Liturgisch drama</t>
  </si>
  <si>
    <t xml:space="preserve">Wikipedia </t>
  </si>
  <si>
    <t>Het liturgisch drama ontstond in de middeleeuwen als uitbreiding van de kerkliturgie met toneel.</t>
  </si>
  <si>
    <t>Memento Mori</t>
  </si>
  <si>
    <t xml:space="preserve">DBNL </t>
  </si>
  <si>
    <t>Memento mori (Latijn: “gedenk te sterven”) was een belangrijk motief in de middeleeuwse spiritualiteit.</t>
  </si>
  <si>
    <t xml:space="preserve">Wanhoop </t>
  </si>
  <si>
    <t>Historiek.net</t>
  </si>
  <si>
    <t xml:space="preserve">In de katholieke theologie geldt wanhoop (desperatio) als een van de ernstigste zonden, omdat men daarbij Gods barmhartigheid verwerpt. Zelfmoord werd daarom lange tijd gezien als een “zonde van wanhoop” – een doodzonde. </t>
  </si>
  <si>
    <t>Schaduwtheater</t>
  </si>
  <si>
    <t>Culturele uitwisselingen tussen het Midden-Oosten en het Iberisch Schiereiland waren significant, dus ook Khayāl al-ẓill in León, wat indirecte invloed mogelijk maakt.</t>
  </si>
  <si>
    <t xml:space="preserve">Turrón </t>
  </si>
  <si>
    <t>De klassieke Spaanse noga van honing, eiwit en amandel, bestond al in de middeleeuwen. Een Arabisch recept uit de 11e eeuw (vertaald door Gerardus Cremonensis) beschrijft een vergelijkbaar snoepgoed “turun” en roemt de voedzame kwaliteiten hiervan.</t>
  </si>
  <si>
    <t xml:space="preserve">Marsepein </t>
  </si>
  <si>
    <t>Essfeed.com</t>
  </si>
  <si>
    <t>Marsepein (amandel-suikerpasta) gold in de middeleeuwen als een duur luxeproduct, vooral door de kostbare ingrediënten.</t>
  </si>
  <si>
    <t>Zoogmoeders</t>
  </si>
  <si>
    <t xml:space="preserve">In de middeleeuwen, met name rond het jaar 1111, was het gebruikelijk dat welgestelde families in Europa zoogmoeders inschakelden voor de verzorging van hun kinderen. </t>
  </si>
  <si>
    <t xml:space="preserve">Kloosterplaatsing </t>
  </si>
  <si>
    <t>Wordpress</t>
  </si>
  <si>
    <t xml:space="preserve">Zowel jongens áls meisjes werden soms al rond hun zevende levensjaar als oblaat aan een kloostergemeenschap geschonken. </t>
  </si>
  <si>
    <t>Kloostergang</t>
  </si>
  <si>
    <t>Studeersnel</t>
  </si>
  <si>
    <t>Vaders of voogden konden dochters aan religieuze huizen aanbieden, soms zonder instemming van het kind.</t>
  </si>
  <si>
    <t>Bordelen in herbergen</t>
  </si>
  <si>
    <t>Bordelen in de 17de en 18de eeuw werden vaak gecamoufleerd als herbergen of andere etablissementen</t>
  </si>
  <si>
    <t>Voorburcht</t>
  </si>
  <si>
    <t>Een voorburcht was het buitenste deel van een kasteel, vaak gebruikt voor economische activiteiten en als eerste verdedigingslinie. Dit element dateert uit de middeleeuwse kasteelbouw (11e-15e eeuw).</t>
  </si>
  <si>
    <t>Zittend slapen</t>
  </si>
  <si>
    <t>Quest</t>
  </si>
  <si>
    <t xml:space="preserve">Het was gebruikelijk dat mensen in bedsteden halfzittend sliepen. </t>
  </si>
  <si>
    <t>Analphabetisme</t>
  </si>
  <si>
    <t>Houston, R.A.</t>
  </si>
  <si>
    <t>Analfabetisme was in pre-industrieel Europa wijdverbreid, vooral onder mannen uit de lagere sociale klassen, die vaak afhankelijk waren van gezinsleden die wel konden lezen en schrijven, omdat onderwijs voor hen minder toegankelijk was.</t>
  </si>
  <si>
    <t>In het dagelijks onderwijs aan het eind van de 17de eeuw was Latijn een verplichte lesstof voor leerlingen, vooral op Latijnse scholen.</t>
  </si>
  <si>
    <t>In huishoudens uit de vroegmoderne tijd, waar vaak meerdere mensen samen in één of twee ruimtes leefden, was privacy schaars. Functionele naaktheid, zoals kinderen die hun ouders naakt zagen tijdens het wassen of omkleden, werd als normaal beschouwd en was niet beladen met het taboe dat we er tegenwoordig aan verbinden.</t>
  </si>
  <si>
    <t>Lijfstraf</t>
  </si>
  <si>
    <t>In Duitsland was lijfstraffen door ouders t/m begin 20e eeuw gangbaar</t>
  </si>
  <si>
    <t>Cijfers waren ongewoon</t>
  </si>
  <si>
    <t>In Europa werden cijfers als beoordelingssysteem pas in de 19e eeuw breed ingevoerd, niet rond 1700</t>
  </si>
  <si>
    <t>Privaat als buitentoilet</t>
  </si>
  <si>
    <t>Is geschiedenis</t>
  </si>
  <si>
    <t>Tot halverwege de 20e eeuw waren privaten—buiten- of apart gelegen toiletten - heel normaal in Duitsland en in veel andere Europese landen.</t>
  </si>
  <si>
    <t xml:space="preserve">Brievenverkeer </t>
  </si>
  <si>
    <t>Isgescheidenis</t>
  </si>
  <si>
    <t>In de premoderne periode was het gebruikelijk dat brieven via tussenpersonen of koeriers werden verstuurd en ontvangen.</t>
  </si>
  <si>
    <t>Oertijd</t>
  </si>
  <si>
    <t>In prehistorische tijden liep men waarschijnlijk bloot; kleding verscheen pas na de ontdekking van vuur en naaimethoden.</t>
  </si>
  <si>
    <t>Cambridge</t>
  </si>
  <si>
    <t>In oudere en middeleeuwse beschavingen werd naaktheid doorgaans als beschamend of een overtreding gezien.</t>
  </si>
  <si>
    <t>Brieven</t>
  </si>
  <si>
    <t>An Itinerant Scribe</t>
  </si>
  <si>
    <t>In middeleeuwse en vroegmoderne tijden werden persoonlijke brieven met was verzegeld en per koerier verstuurd.</t>
  </si>
  <si>
    <t xml:space="preserve">Analphabetisme </t>
  </si>
  <si>
    <t>Gale</t>
  </si>
  <si>
    <t>Het merendeel van de gewone bevolking kon in grote delen van Europa tot ver in de 19e eeuw niet lezen of schrijven.</t>
  </si>
  <si>
    <t>Dienstmeid als object</t>
  </si>
  <si>
    <t>Dienstmeisjes en huispersoneel waren binnen het feodale stelsel vaak kwetsbaar voor seksueel misbruik en werden gezien als objecten binnen de machtsverhoudingen.</t>
  </si>
  <si>
    <t>Kloosterleven als bescherming</t>
  </si>
  <si>
    <t>Shirley Kersey</t>
  </si>
  <si>
    <t>Voor veel vrouwen was het klooster een toevlucht en bood het veiligheid en regelmaat tegenover een onveilige buitenwereld.</t>
  </si>
  <si>
    <t>Echtelijke plicht</t>
  </si>
  <si>
    <t>Vitus</t>
  </si>
  <si>
    <t>In de katholieke traditie werd regelmatige echtelijke omgang als plicht van getrouwde stellen gezien.</t>
  </si>
  <si>
    <t>Kerkelijke carriere</t>
  </si>
  <si>
    <t>In de katholieke traditie kon een misdienaar opklimmen tot kapelaan, maar het ambt van hofkapelaan (aan hof of bisschoppelijk paleis) was uitzonderlijk en vooral historisch, meer in de premoderne tijd.</t>
  </si>
  <si>
    <t>Prins-bisschop</t>
  </si>
  <si>
    <t>Prins-bisschoppen waren religieuze én wereldlijke leiders, bijvoorbeeld in Luik en Münster tot de 18e eeuw.</t>
  </si>
  <si>
    <t>Spontane generatie</t>
  </si>
  <si>
    <t>allaboutscience</t>
  </si>
  <si>
    <t>Spontane generatie was tot ver in de 18e eeuw een algemeen aanvaard idee, zowel onder wetenschappers als onder leken. Men geloofde dat leven spontaan kon ontstaan uit levenloze materie, bijvoorbeeld wormen uit vlees, vliegen uit stof, of muizen uit graan en vuile lappen</t>
  </si>
  <si>
    <t xml:space="preserve">Brandgans </t>
  </si>
  <si>
    <t>Er bestond een hardnekkige mythe dat de brandgans (een zeevogel) uit schelpen zou ontstaan. Dit idee was populair in de 16e en 17e eeuw, en werd nog lang geloofd, zelfs door wetenschappers.</t>
  </si>
  <si>
    <t>VOC-schip</t>
  </si>
  <si>
    <t>Scheepvaartmuseum</t>
  </si>
  <si>
    <t>VOC-schepen waren indrukwekkende koopvaardijschepen van de Vereenigde Oostindische Compagnie. Ze waren doorgaans 36 tot 48 meter lang, met voorbeelden van latere en grotere klassen tot circa 45-50 meter. Een typisch schip had drie masten, vier dekken, een diepgang tot circa vijf meter, en was gebouwd van gebogen eiken spanten. Het was gebruikelijk dat VOC-schepen rijkelijk versierd werden met houtsnijwerk, vaak met zeewezens als motief</t>
  </si>
  <si>
    <t xml:space="preserve">Jordaan </t>
  </si>
  <si>
    <t>De Jordaan was een typische volkswijk in Amsterdam, waar veel gewone burgers woonden, waaronder gezinnen van zeelieden; het was niet ongebruikelijk dat mannen uit deze buurt bij de VOC aanmonsterden, hoewel dit niet universeel gebeurde.</t>
  </si>
  <si>
    <t>Retourschip</t>
  </si>
  <si>
    <t>“Retourschip” verwijst naar het type schip dat goederen van Nederland naar Oost-Indië bracht (en terug) en was standaard binnen de VOC-vloot.</t>
  </si>
  <si>
    <t>Zonnekoning</t>
  </si>
  <si>
    <t>De Zonnekoning, Lodewijk XIV van Frankrijk, was een machtige vorst met grote invloed op het Europese katholieke kerkelijke leven.</t>
  </si>
  <si>
    <t>Vierschaar</t>
  </si>
  <si>
    <t>De vierschaar was een rechtbank in de vroegmoderne Nederlanden die recht sprak over lichte en zware vergrijpen. De strafmaat kon aanzienlijk zijn, zelfs bij diefstal van kleine zaken (zoals brood).</t>
  </si>
  <si>
    <t>Schaken was vanaf de middeleeuwen wijdverspreid in adellijke en geestelijke kringen, en dat het niet alleen als ontspanning maar ook als intellectuele oefening en zelfontwikkeling voor de elite gold. Bovendien was de schaakklok in vroege tijden nog niet in gebruik, waardoor partijen soms erg lang konden duren. Dit spel werd gezien als een belangrijke training in strategisch denken, passend bij de aristocratie en hogere standen</t>
  </si>
  <si>
    <t>Officiaal</t>
  </si>
  <si>
    <t>Een officiaal is een rechter aan een kerkelijke rechtbank van de Katholieke Kerk en spreekt recht volgens het canoniek recht binnen een bisdom.</t>
  </si>
  <si>
    <t>Paus Gregorius I</t>
  </si>
  <si>
    <t>NationalGeographic</t>
  </si>
  <si>
    <t>Het bekende beeld van Maria Magdalena als berouwvolle zondares of ex-prostituee stamt uit de preek van Paus Gregorius I in 591. Gregorius identificeerde haar in een homilie met twee andere figuren: de naamloze zondares uit Lucas 7 en Maria van Bethanië, waardoor Maria Magdalena als zondares werd gezien.</t>
  </si>
  <si>
    <t>Kloosterhiërarchie</t>
  </si>
  <si>
    <t>Een abdij kende een strikte hiërarchie. De abdis was het absolute hoofd van een abdij van nonnen en stond bovenaan in de rangorde. Onder haar vielen de volwaardige nonnen, soms aangevuld met een raad en een prior, die samen het dagelijks bestuur aanvulden.</t>
  </si>
  <si>
    <t>Postulant</t>
  </si>
  <si>
    <t>Een kandidaat verblijft als postulant in het klooster ter oriëntatie zonder verplichtingen. De postulant kan na de oriëntatie vertrekken, of toegelaten worden tot het noviciaat.</t>
  </si>
  <si>
    <t>Noviciaat</t>
  </si>
  <si>
    <t>De novice ondergaat een opleidings- en proefperiode van één tot twee jaar, waarin haar geschiktheid wordt getest en ze wordt gevormd volgens de traditie van het klooster.</t>
  </si>
  <si>
    <t>Habijt</t>
  </si>
  <si>
    <t>Abdij</t>
  </si>
  <si>
    <t>De novice ontving het habijt—de karakteristieke kloosterkleding van de orde—en legde haar geloften af. De inkleding symboliseert de opname in de gemeenschap en het begin van het religieuze leven.</t>
  </si>
  <si>
    <t>Flagellum</t>
  </si>
  <si>
    <t>Erfgoedcentrum Nederlands Kloosterleven</t>
  </si>
  <si>
    <t>Fysieke boetedoening of ascese, zoals zelfkastijding met een gesel (discipline of flagellum), kwam voor in bepaalde kloostertradities om zonden te boeten en het lichaam te onderwerpen. Dit behoort tot de historische praktijk van ascetisme binnen diverse ordes.</t>
  </si>
  <si>
    <t>Pre-huwelijkse seksuele normen</t>
  </si>
  <si>
    <t>Seksuele omgang voor het huwelijk werd sociaal afgekeurd en als gevaarlijk voor de reputatie van meisjes beschouwd.</t>
  </si>
  <si>
    <t>Jonkheer</t>
  </si>
  <si>
    <t>In Nederland/Duitsland bestond een adelstand waar de titel 'jonkheer' gebruikelijk was. Jongelui uit deze laag gedroegen zich conform adellijke waarden, zoals terughoudendheid binnen het hofmakerijproces.</t>
  </si>
  <si>
    <t>Gemaal</t>
  </si>
  <si>
    <t>Noord-Nederland en Noordwest-Duitsland bevatten veengebieden, veenkanalen, en gemalen als essentieel onderdeel van de waterbeheersing vanaf de 18e eeuw.</t>
  </si>
  <si>
    <t>Joodse landhandelaar</t>
  </si>
  <si>
    <t>Etty Hillersum Centrum</t>
  </si>
  <si>
    <t>Joodse landhandelaren/venters trokken door Nederland/Duitsland en boden soms, ondanks vooroordelen, hulp aan vervolgden. Vooroordelen jegens Joden waren wijdverbreid.</t>
  </si>
  <si>
    <t>08-08-1644</t>
  </si>
  <si>
    <t>Geboorte Friedrich Christian von Plettenberg</t>
  </si>
  <si>
    <t>Friedrich Christian von Plettenberg wordt vicaris-generaal</t>
  </si>
  <si>
    <t>20-06-1688</t>
  </si>
  <si>
    <t>Friedrich Christian von Plettenberg tot priester van Münster gewijd</t>
  </si>
  <si>
    <t>29-07-1688</t>
  </si>
  <si>
    <t>Friedrich Christian von Plettenberg gekozen tot prins-bisschop van Münster</t>
  </si>
  <si>
    <t>20-12-1688</t>
  </si>
  <si>
    <t xml:space="preserve">Catholic-hierarchy </t>
  </si>
  <si>
    <t>Friedrich Christian von Plettenberg benoeming tot prins-bisschop van Münster bevestigd</t>
  </si>
  <si>
    <t>05-05-1706</t>
  </si>
  <si>
    <t>Dood van Friedrich Christian von Plettenberg</t>
  </si>
  <si>
    <t>Confessionalisering</t>
  </si>
  <si>
    <t>Confessionalisering richtte zich op een homogeen katholiek territorium vanaf 1585 in het vorstbisdom Münster.</t>
  </si>
  <si>
    <t>Dertigjarige Oorlog</t>
  </si>
  <si>
    <t>De Dertigjarige Oorlog (1618–1648) viel samen met het bestuur van Ernst van Beieren</t>
  </si>
  <si>
    <t>Hervorming officium episcopale</t>
  </si>
  <si>
    <t>Het officium episcopale werd hervormd om de staat te centraliseren en verloor terrein aan het domkapittel.</t>
  </si>
  <si>
    <t>Protestantse hervorming</t>
  </si>
  <si>
    <t>Protestantse hervormingen in Münster mislukten door conflicten met bisschoppelijke machtstructuren.</t>
  </si>
  <si>
    <t>Geestelijke raad</t>
  </si>
  <si>
    <t>In 1601 werd een geestelijke raad opgericht die hervormingsmaatregelen moest voorkomen en conflicten met aartsdiaconaten veroorzaakte.</t>
  </si>
  <si>
    <t>Generaal-vicaris</t>
  </si>
  <si>
    <t>In 1621 werd het ambt van generaal-vicaris overgedragen aan aartsdiakenen</t>
  </si>
  <si>
    <t>Celibaat</t>
  </si>
  <si>
    <t>Concubinaat onder geestelijken verdween rond 1600 volledig door hervormingen zoals die van het Concilie van Trente.</t>
  </si>
  <si>
    <t>Priesteropleiding</t>
  </si>
  <si>
    <t>Priesteropleiding in Münster gebeurde via het gymnasium Paulinum onder jezuïetentoezicht zonder afzonderlijk seminarie.</t>
  </si>
  <si>
    <t>Ignatius van Loyola</t>
  </si>
  <si>
    <t>Ignatius van Loyola introduceerde een religieuze oefening gericht op persoonlijke geloofsbeleving binnen een gemeenschapsstructuur.</t>
  </si>
  <si>
    <t>Catechismusonderwijs</t>
  </si>
  <si>
    <t>Catechismusonderwijs volgens de Romeinse Catechismus werd rond 1600 verplicht in Münster.</t>
  </si>
  <si>
    <t>Tridentijns vormingsideaal</t>
  </si>
  <si>
    <t>Het Tridentijns vormingsideaal stelde een sobere en subjectieve geloofsbeleving centraal met nadruk op traditie en gehoorzaamheid.</t>
  </si>
  <si>
    <t>Subject</t>
  </si>
  <si>
    <t>Predicate</t>
  </si>
  <si>
    <t>Object</t>
  </si>
  <si>
    <t>‘Jager’</t>
  </si>
  <si>
    <t>ving</t>
  </si>
  <si>
    <t>vogelvrijen</t>
  </si>
  <si>
    <t>begluurd</t>
  </si>
  <si>
    <t>herkent</t>
  </si>
  <si>
    <t>gestreeld door</t>
  </si>
  <si>
    <t>‘Bikkel’</t>
  </si>
  <si>
    <t>beschouwt als vader</t>
  </si>
  <si>
    <t>’Stiefvader‘</t>
  </si>
  <si>
    <t>is lijfeigene van</t>
  </si>
  <si>
    <t>neemt op huwelijksnacht</t>
  </si>
  <si>
    <t>behandelt als vee</t>
  </si>
  <si>
    <t>is omgekocht door</t>
  </si>
  <si>
    <t>werd hartedief van</t>
  </si>
  <si>
    <t>heeft een zus</t>
  </si>
  <si>
    <t>deed recht op eerst nacht bij</t>
  </si>
  <si>
    <t>horigen</t>
  </si>
  <si>
    <t>kende voor het bisdom machtige</t>
  </si>
  <si>
    <t>familiegenoten</t>
  </si>
  <si>
    <t>ergert zich aan</t>
  </si>
  <si>
    <t>’Abdis‘</t>
  </si>
  <si>
    <t>’Messing‘</t>
  </si>
  <si>
    <t>werd</t>
  </si>
  <si>
    <t>wordt als smiecht gezien door</t>
  </si>
  <si>
    <t>kloosterlingen</t>
  </si>
  <si>
    <t>’Profeet ‘</t>
  </si>
  <si>
    <t>onderwijst</t>
  </si>
  <si>
    <t>’Moeder‘</t>
  </si>
  <si>
    <t>doet na</t>
  </si>
  <si>
    <t>is dochter van</t>
  </si>
  <si>
    <t>heeft een</t>
  </si>
  <si>
    <t>zus</t>
  </si>
  <si>
    <t>vlucht voor</t>
  </si>
  <si>
    <t>’Landheer‘</t>
  </si>
  <si>
    <t>werd ontboden door</t>
  </si>
  <si>
    <t>krijgt brieven van</t>
  </si>
  <si>
    <t>waarschuwt</t>
  </si>
  <si>
    <t>wordt vogelvrij verklaard door</t>
  </si>
  <si>
    <t>opgevangen door</t>
  </si>
  <si>
    <t>’Tante‘</t>
  </si>
  <si>
    <t>‘Stiefvader’</t>
  </si>
  <si>
    <t>minacht</t>
  </si>
  <si>
    <t>‘Moeder’</t>
  </si>
  <si>
    <t>treitert</t>
  </si>
  <si>
    <t>‘Emmy’</t>
  </si>
  <si>
    <t>parentificeert</t>
  </si>
  <si>
    <t>improviseert samen met</t>
  </si>
  <si>
    <t>voelt afstand</t>
  </si>
  <si>
    <t>was stiefdochter van</t>
  </si>
  <si>
    <t>citeert</t>
  </si>
  <si>
    <t>‘Profeet’</t>
  </si>
  <si>
    <t>overmeestert</t>
  </si>
  <si>
    <t>bekijkt</t>
  </si>
  <si>
    <t>‘Einfach’</t>
  </si>
  <si>
    <t>is broer van</t>
  </si>
  <si>
    <t>‘Herder’</t>
  </si>
  <si>
    <t>verzorgt</t>
  </si>
  <si>
    <t>was 5 jaar ouder dan</t>
  </si>
  <si>
    <t>gunde een kind voor</t>
  </si>
  <si>
    <t>is gevangen door</t>
  </si>
  <si>
    <t>krijgt een klap van</t>
  </si>
  <si>
    <t>begeleidt seksueel</t>
  </si>
  <si>
    <t>penetreert tijdens ritueel</t>
  </si>
  <si>
    <t>werd ontvoerd door</t>
  </si>
  <si>
    <t xml:space="preserve"> ‘Jonkheer’</t>
  </si>
  <si>
    <t>‘Jonkheer’</t>
  </si>
  <si>
    <t>werd verliefd op</t>
  </si>
  <si>
    <t xml:space="preserve"> Emmy</t>
  </si>
  <si>
    <t>stemde in met huwelijk</t>
  </si>
  <si>
    <t>verkoopt breiwerk aan</t>
  </si>
  <si>
    <t>had een</t>
  </si>
  <si>
    <t>werd opgevoed door</t>
  </si>
  <si>
    <t>Regent</t>
  </si>
  <si>
    <t>verloor door hongersnood</t>
  </si>
  <si>
    <t>ouders</t>
  </si>
  <si>
    <t>was getrouwd met</t>
  </si>
  <si>
    <t>projecteert op</t>
  </si>
  <si>
    <t>paart dagelijks met</t>
  </si>
  <si>
    <t>‘Vader’</t>
  </si>
  <si>
    <t>heeft als stiefvader</t>
  </si>
  <si>
    <t>‘Messing’</t>
  </si>
  <si>
    <t>‘Rechter’</t>
  </si>
  <si>
    <t>had een geheime relatie met</t>
  </si>
  <si>
    <t>bekeek</t>
  </si>
  <si>
    <t>vreesde</t>
  </si>
  <si>
    <t>zijn vader</t>
  </si>
  <si>
    <t>was een incarnatie van</t>
  </si>
  <si>
    <t>een ziel van wantrouwen</t>
  </si>
  <si>
    <t>was een reïncarnatie van</t>
  </si>
  <si>
    <t>kreeg levenswiel</t>
  </si>
  <si>
    <t>’Profeet‘</t>
  </si>
  <si>
    <t>verleidt</t>
  </si>
  <si>
    <t>trekt voor</t>
  </si>
  <si>
    <t>beschuldigt</t>
  </si>
  <si>
    <t xml:space="preserve">droit de seigneur </t>
  </si>
  <si>
    <t>schrijft aan</t>
  </si>
  <si>
    <t>lijfeigent</t>
  </si>
  <si>
    <t>‘Vader‘</t>
  </si>
  <si>
    <t>was peettante van</t>
  </si>
  <si>
    <t>was tante van</t>
  </si>
  <si>
    <t>was moeder van</t>
  </si>
  <si>
    <t>was zus van</t>
  </si>
  <si>
    <t>aangenomen als kind door</t>
  </si>
  <si>
    <t>moeder van tante</t>
  </si>
  <si>
    <t xml:space="preserve">is getrouwd met </t>
  </si>
  <si>
    <t>’Oom‘</t>
  </si>
  <si>
    <t>is moeder van</t>
  </si>
  <si>
    <t>kapelaan</t>
  </si>
  <si>
    <t>is vader van</t>
  </si>
  <si>
    <t>heeft 7</t>
  </si>
  <si>
    <t>apostelen</t>
  </si>
  <si>
    <t>minnares van vrouw van</t>
  </si>
  <si>
    <t>vergiftigd</t>
  </si>
  <si>
    <t>‘Bisschop 1’</t>
  </si>
  <si>
    <t>ontmaskerd</t>
  </si>
  <si>
    <t>schaakvriend van</t>
  </si>
  <si>
    <t>werd gerecruteerd door</t>
  </si>
  <si>
    <t>verloofd met</t>
  </si>
  <si>
    <t>discarneerin</t>
  </si>
  <si>
    <t>een ziel van vertrouwen</t>
  </si>
  <si>
    <t>‘Sultan’</t>
  </si>
  <si>
    <t>was hertrouwd met</t>
  </si>
  <si>
    <t>‘Wijze’</t>
  </si>
  <si>
    <t>was dochter van</t>
  </si>
  <si>
    <t>‘Landheer’</t>
  </si>
  <si>
    <t>was stiefzus van</t>
  </si>
  <si>
    <t>werd gevangen door</t>
  </si>
  <si>
    <t>werd ontmaagd door</t>
  </si>
  <si>
    <t>werd bevrucht door</t>
  </si>
  <si>
    <t>‘Priester’</t>
  </si>
  <si>
    <t>werd verraden door</t>
  </si>
  <si>
    <t>werd een concubine van</t>
  </si>
  <si>
    <t>was een sektehoer van</t>
  </si>
  <si>
    <t>was</t>
  </si>
  <si>
    <t>apostel ‘Goud’</t>
  </si>
  <si>
    <t>had een affaire met</t>
  </si>
  <si>
    <t>Adelheid Schaffgotsch van Silezië</t>
  </si>
  <si>
    <t>‘Brons’</t>
  </si>
  <si>
    <t>‘Tailleur’</t>
  </si>
  <si>
    <t>werd veroordeeld tot</t>
  </si>
  <si>
    <t>sektehoer door ‘Rechter’</t>
  </si>
  <si>
    <t>‘Schout’</t>
  </si>
  <si>
    <t>‘Koper’</t>
  </si>
  <si>
    <t>schuldenarrest door ‘Rechter’</t>
  </si>
  <si>
    <t>werd gekocht door</t>
  </si>
  <si>
    <t>werd aangeduid als</t>
  </si>
  <si>
    <t>‘Heks’</t>
  </si>
  <si>
    <t>apostel ‘Kwik’</t>
  </si>
  <si>
    <t>werd aangerand door</t>
  </si>
  <si>
    <t>verbanning door ‘Rechter’</t>
  </si>
  <si>
    <t>leidde</t>
  </si>
  <si>
    <t>het ‘Verzet’</t>
  </si>
  <si>
    <t>was een concubine van</t>
  </si>
  <si>
    <t>werd geschonken aan</t>
  </si>
  <si>
    <t>werd dubbel verraden door</t>
  </si>
  <si>
    <t>werd teruggegeven aan</t>
  </si>
  <si>
    <t>brandstapel door ‘Rechter’</t>
  </si>
  <si>
    <t>‘Vrouw’</t>
  </si>
  <si>
    <t>dood door ‘Rechter’</t>
  </si>
  <si>
    <t>was gescheiden van</t>
  </si>
  <si>
    <t>‘Bakker’</t>
  </si>
  <si>
    <t>‘Zilver’</t>
  </si>
  <si>
    <t>‘Kobalt’</t>
  </si>
  <si>
    <t>‘Bisschop’</t>
  </si>
  <si>
    <t>steunde</t>
  </si>
  <si>
    <t>‘Kwik’</t>
  </si>
  <si>
    <t>had een relatie met</t>
  </si>
  <si>
    <t>was synoniem aan</t>
  </si>
  <si>
    <t>‘Sekteleider’</t>
  </si>
  <si>
    <t>was pionier van</t>
  </si>
  <si>
    <t>werd aangeklaagd door</t>
  </si>
  <si>
    <t>huwelijkte</t>
  </si>
  <si>
    <t>‘Brons’ uit aan ‘Tailleur’</t>
  </si>
  <si>
    <t>‘Koper’ uit aan ‘Bakker’</t>
  </si>
  <si>
    <t>‘Messing’ uit aan ‘Rechter’</t>
  </si>
  <si>
    <t>‘Zilver’ uit aan ‘Priester’</t>
  </si>
  <si>
    <t>‘Kobalt’ uit aan ‘Schout’</t>
  </si>
  <si>
    <t>was broer van</t>
  </si>
  <si>
    <t>beheerde</t>
  </si>
  <si>
    <t>dagelijkse gang van zaken in Pandemonium</t>
  </si>
  <si>
    <t>‘Rentmeester’</t>
  </si>
  <si>
    <t>bestuurde</t>
  </si>
  <si>
    <t>benoemde</t>
  </si>
  <si>
    <t>was lid van</t>
  </si>
  <si>
    <t>leverde</t>
  </si>
  <si>
    <t>vrouwen aan ‘Sultan’</t>
  </si>
  <si>
    <t>was lijfwacht van</t>
  </si>
  <si>
    <t>vermoordde</t>
  </si>
  <si>
    <t>handhaafde</t>
  </si>
  <si>
    <t>in Pandemonium</t>
  </si>
  <si>
    <t>sprak recht in</t>
  </si>
  <si>
    <t>beval</t>
  </si>
  <si>
    <t>had</t>
  </si>
  <si>
    <t>wandelstok</t>
  </si>
  <si>
    <t>jagerskleding</t>
  </si>
  <si>
    <t>schuilt in</t>
  </si>
  <si>
    <t>jagershut</t>
  </si>
  <si>
    <t>banbrief</t>
  </si>
  <si>
    <t>observeert</t>
  </si>
  <si>
    <t>halsketting</t>
  </si>
  <si>
    <t>draagt</t>
  </si>
  <si>
    <t>vodden</t>
  </si>
  <si>
    <t>zwemt in</t>
  </si>
  <si>
    <t>ven</t>
  </si>
  <si>
    <t>bezat</t>
  </si>
  <si>
    <t>es</t>
  </si>
  <si>
    <t>gevang</t>
  </si>
  <si>
    <t>bevalt in</t>
  </si>
  <si>
    <t>bad</t>
  </si>
  <si>
    <t>bordeel</t>
  </si>
  <si>
    <t>landerij</t>
  </si>
  <si>
    <t>huishoudbeurs</t>
  </si>
  <si>
    <t>duimbrede stok</t>
  </si>
  <si>
    <t>schaamklep</t>
  </si>
  <si>
    <t>‘Abdes’</t>
  </si>
  <si>
    <t>bezit</t>
  </si>
  <si>
    <t>koets</t>
  </si>
  <si>
    <t>verlaat</t>
  </si>
  <si>
    <t>rietven</t>
  </si>
  <si>
    <t>huppelt naar</t>
  </si>
  <si>
    <t>den</t>
  </si>
  <si>
    <t>Vader</t>
  </si>
  <si>
    <t>bezoekt</t>
  </si>
  <si>
    <t>schaamlap</t>
  </si>
  <si>
    <t>Jager</t>
  </si>
  <si>
    <t>zette</t>
  </si>
  <si>
    <t>val</t>
  </si>
  <si>
    <t>spande</t>
  </si>
  <si>
    <t>strik</t>
  </si>
  <si>
    <t>droeg</t>
  </si>
  <si>
    <t>mes</t>
  </si>
  <si>
    <t>lompen</t>
  </si>
  <si>
    <t>woonde in</t>
  </si>
  <si>
    <t>jaagde in</t>
  </si>
  <si>
    <t>een jachtreservaat</t>
  </si>
  <si>
    <t>landgoed 'Landkwaad'</t>
  </si>
  <si>
    <t>pachtte</t>
  </si>
  <si>
    <t>een glazen kas</t>
  </si>
  <si>
    <t>jachtgeweer</t>
  </si>
  <si>
    <t>diende op</t>
  </si>
  <si>
    <t>bejaard</t>
  </si>
  <si>
    <t>alcoholist</t>
  </si>
  <si>
    <t>gehard</t>
  </si>
  <si>
    <t>angstaanjagend</t>
  </si>
  <si>
    <t>oog verloren</t>
  </si>
  <si>
    <t>slechte gebit</t>
  </si>
  <si>
    <t>premiejager</t>
  </si>
  <si>
    <t>tevenaar</t>
  </si>
  <si>
    <t>hofleverancier</t>
  </si>
  <si>
    <t>topfit</t>
  </si>
  <si>
    <t>arm</t>
  </si>
  <si>
    <t>verlegen</t>
  </si>
  <si>
    <t>puur</t>
  </si>
  <si>
    <t>innemend</t>
  </si>
  <si>
    <t>adembenemend</t>
  </si>
  <si>
    <t>rode haarlokken</t>
  </si>
  <si>
    <t>haren als herfstbladeren</t>
  </si>
  <si>
    <t>sproetjes</t>
  </si>
  <si>
    <t>dertienjarige ogende bips</t>
  </si>
  <si>
    <t>rode nippeltjes</t>
  </si>
  <si>
    <t>fel oranje kuthaartjes</t>
  </si>
  <si>
    <t>lieflijk gezicht</t>
  </si>
  <si>
    <t>speelde</t>
  </si>
  <si>
    <t>redder en shredder van ongemak</t>
  </si>
  <si>
    <t>wrede opvoeding</t>
  </si>
  <si>
    <t>misbruikte</t>
  </si>
  <si>
    <t>knielde</t>
  </si>
  <si>
    <t>voor macht</t>
  </si>
  <si>
    <t>slachtoffer</t>
  </si>
  <si>
    <t>aanklager</t>
  </si>
  <si>
    <t>(ver)drager</t>
  </si>
  <si>
    <t>eigenwijsneus</t>
  </si>
  <si>
    <t>hield van</t>
  </si>
  <si>
    <t>leren</t>
  </si>
  <si>
    <t>vond saai</t>
  </si>
  <si>
    <t>een boerenleven</t>
  </si>
  <si>
    <t>leerde</t>
  </si>
  <si>
    <t>lezen</t>
  </si>
  <si>
    <t>zocht</t>
  </si>
  <si>
    <t>spiritueel pad</t>
  </si>
  <si>
    <t>reflectief</t>
  </si>
  <si>
    <t>mocht graag</t>
  </si>
  <si>
    <t>filosoleren</t>
  </si>
  <si>
    <t>onuitroeibaar</t>
  </si>
  <si>
    <t>autoritair</t>
  </si>
  <si>
    <t>vals</t>
  </si>
  <si>
    <t>meedogenloos</t>
  </si>
  <si>
    <t>streng</t>
  </si>
  <si>
    <t>een smiecht</t>
  </si>
  <si>
    <t>schijnheilig</t>
  </si>
  <si>
    <t>onderdanig</t>
  </si>
  <si>
    <t>een waterkind</t>
  </si>
  <si>
    <t>water</t>
  </si>
  <si>
    <t>een sproetige huid</t>
  </si>
  <si>
    <t>gaf niet om</t>
  </si>
  <si>
    <t>zonnebrand</t>
  </si>
  <si>
    <t>koudetolerant</t>
  </si>
  <si>
    <t>vogelvrij verklaard</t>
  </si>
  <si>
    <t>angstig</t>
  </si>
  <si>
    <t>rode haren</t>
  </si>
  <si>
    <t>wantrouwen ontwikkeld</t>
  </si>
  <si>
    <t>een neiging tot rumineren</t>
  </si>
  <si>
    <t>een reflectieve leerstijl</t>
  </si>
  <si>
    <t>de landheer</t>
  </si>
  <si>
    <t>gastvrij</t>
  </si>
  <si>
    <t>galant</t>
  </si>
  <si>
    <t>godvrezend</t>
  </si>
  <si>
    <t>laf</t>
  </si>
  <si>
    <t>herstel van gezag</t>
  </si>
  <si>
    <t>geloof</t>
  </si>
  <si>
    <t>ijsblauwe ogen</t>
  </si>
  <si>
    <t>knokige hand</t>
  </si>
  <si>
    <t>dunne baard</t>
  </si>
  <si>
    <t>zonverbrande huid</t>
  </si>
  <si>
    <t>ingevallen snoet</t>
  </si>
  <si>
    <t>jukbeenderen</t>
  </si>
  <si>
    <t>wit en golvend haar</t>
  </si>
  <si>
    <t>diepe rimpels</t>
  </si>
  <si>
    <t>humeurig</t>
  </si>
  <si>
    <t>een komediant</t>
  </si>
  <si>
    <t>ja-knikker</t>
  </si>
  <si>
    <t>driftkikker</t>
  </si>
  <si>
    <t>ijzig</t>
  </si>
  <si>
    <t>teruggetrokken haarlijn</t>
  </si>
  <si>
    <t>een rolomkerende ouder</t>
  </si>
  <si>
    <t>emotioneel onvolwassen</t>
  </si>
  <si>
    <t>eerder getrouwd</t>
  </si>
  <si>
    <t xml:space="preserve">myotonie </t>
  </si>
  <si>
    <t xml:space="preserve">hypogonadisme </t>
  </si>
  <si>
    <t>scherpe voelhorens</t>
  </si>
  <si>
    <t>tietjes</t>
  </si>
  <si>
    <t>lokken</t>
  </si>
  <si>
    <t>bips</t>
  </si>
  <si>
    <t>verstrooide professor</t>
  </si>
  <si>
    <t>graag</t>
  </si>
  <si>
    <t>leerde niet</t>
  </si>
  <si>
    <t>kinderwens</t>
  </si>
  <si>
    <t>1,5 meter lang</t>
  </si>
  <si>
    <t>een roomblanke huid</t>
  </si>
  <si>
    <t>at</t>
  </si>
  <si>
    <t>plantaardig (vegetarisch)</t>
  </si>
  <si>
    <t>affiniteit met dieren</t>
  </si>
  <si>
    <t>voelde zich thuis in</t>
  </si>
  <si>
    <t>pijn of ongemak</t>
  </si>
  <si>
    <t>vrijzwevende angst</t>
  </si>
  <si>
    <t>fit</t>
  </si>
  <si>
    <t>roedels noviet</t>
  </si>
  <si>
    <t>had laagste rang in</t>
  </si>
  <si>
    <t>roedel</t>
  </si>
  <si>
    <t>roedelleider</t>
  </si>
  <si>
    <t>‘Einfach ’</t>
  </si>
  <si>
    <t>mentaal minder begaafd</t>
  </si>
  <si>
    <t>een afwijking</t>
  </si>
  <si>
    <t>een scheef hangende arm</t>
  </si>
  <si>
    <t>scheve tanden</t>
  </si>
  <si>
    <t>een lekke pik</t>
  </si>
  <si>
    <t>schuin kijkende ogen</t>
  </si>
  <si>
    <t>geen haren op zijn kruin</t>
  </si>
  <si>
    <t>verloor door een pijl</t>
  </si>
  <si>
    <t>een oog</t>
  </si>
  <si>
    <t>simpel</t>
  </si>
  <si>
    <t>luchtig</t>
  </si>
  <si>
    <t>robuust</t>
  </si>
  <si>
    <t>ruig</t>
  </si>
  <si>
    <t>een wildebras</t>
  </si>
  <si>
    <t>genoot volop van</t>
  </si>
  <si>
    <t>het leven</t>
  </si>
  <si>
    <t>was onbezorgd over</t>
  </si>
  <si>
    <t>de dood</t>
  </si>
  <si>
    <t xml:space="preserve">kerstboomcataract </t>
  </si>
  <si>
    <t>verweerde hoofdhuid</t>
  </si>
  <si>
    <t>een stroper</t>
  </si>
  <si>
    <t>verkocht</t>
  </si>
  <si>
    <t>werd begeerd door</t>
  </si>
  <si>
    <t>vrouwen</t>
  </si>
  <si>
    <t>verleidde</t>
  </si>
  <si>
    <t>adellijke vrouwen</t>
  </si>
  <si>
    <t>werd beschouwd als</t>
  </si>
  <si>
    <t>een boef</t>
  </si>
  <si>
    <t>was zoon van</t>
  </si>
  <si>
    <t>een rijke vader</t>
  </si>
  <si>
    <t>door ouders verraden</t>
  </si>
  <si>
    <t>een zus</t>
  </si>
  <si>
    <t>bleef</t>
  </si>
  <si>
    <t>kinderloos</t>
  </si>
  <si>
    <t>een zwartgrijze baard</t>
  </si>
  <si>
    <t>verwondingen</t>
  </si>
  <si>
    <t>wilde</t>
  </si>
  <si>
    <t>nageslacht</t>
  </si>
  <si>
    <t>verloor</t>
  </si>
  <si>
    <t>geloof in vruchtbaarheid</t>
  </si>
  <si>
    <t>nonchalant</t>
  </si>
  <si>
    <t>wilde haren</t>
  </si>
  <si>
    <t>een scharrelslager</t>
  </si>
  <si>
    <t>was tevreden met</t>
  </si>
  <si>
    <t>een enkel nageslacht</t>
  </si>
  <si>
    <t>voelde verantwoordelijkheid voor</t>
  </si>
  <si>
    <t>zijn nageslacht</t>
  </si>
  <si>
    <t>zwakjes</t>
  </si>
  <si>
    <t>extreem moe</t>
  </si>
  <si>
    <t>viel</t>
  </si>
  <si>
    <t>vaak flauw</t>
  </si>
  <si>
    <t>darmklachten</t>
  </si>
  <si>
    <t>slikproblemen</t>
  </si>
  <si>
    <t>getrouwd</t>
  </si>
  <si>
    <t>kreeg</t>
  </si>
  <si>
    <t>een kind</t>
  </si>
  <si>
    <t>gehard door weer en wind</t>
  </si>
  <si>
    <t>vogelvrij</t>
  </si>
  <si>
    <t>kleine billen</t>
  </si>
  <si>
    <t>kleine voeten</t>
  </si>
  <si>
    <t>’Herder‘</t>
  </si>
  <si>
    <t>Sexcoach</t>
  </si>
  <si>
    <t>kende</t>
  </si>
  <si>
    <t>toonde</t>
  </si>
  <si>
    <t>Angst-agressief gedrag</t>
  </si>
  <si>
    <t>Verlatingsangst</t>
  </si>
  <si>
    <t>Emotiefobie</t>
  </si>
  <si>
    <t>Ejaculatio praecox, vroegtijdig klaarkomer</t>
  </si>
  <si>
    <t>gehaaid</t>
  </si>
  <si>
    <t>prachtig gezicht</t>
  </si>
  <si>
    <t>rossig wicht</t>
  </si>
  <si>
    <t>gemakkelijk</t>
  </si>
  <si>
    <t>zeer aantrekkelijk</t>
  </si>
  <si>
    <t>onschuldig</t>
  </si>
  <si>
    <t>ondeugend</t>
  </si>
  <si>
    <t>een sterk postuur</t>
  </si>
  <si>
    <t>slanke, lange benen</t>
  </si>
  <si>
    <t>zware, lange armen</t>
  </si>
  <si>
    <t>goudlokken</t>
  </si>
  <si>
    <t>roze aura</t>
  </si>
  <si>
    <t>rode haar</t>
  </si>
  <si>
    <t>brein was</t>
  </si>
  <si>
    <t>smal, kronkelig, drabbig, schemerig</t>
  </si>
  <si>
    <t>wantrouwend</t>
  </si>
  <si>
    <t>perfectionistisch</t>
  </si>
  <si>
    <t>mistte</t>
  </si>
  <si>
    <t>intimiteit</t>
  </si>
  <si>
    <t>schoonheid</t>
  </si>
  <si>
    <t>marktvrouw</t>
  </si>
  <si>
    <t>prekerig</t>
  </si>
  <si>
    <t>stellig</t>
  </si>
  <si>
    <t>dienstmeid</t>
  </si>
  <si>
    <t>religieus</t>
  </si>
  <si>
    <t>verwijtend</t>
  </si>
  <si>
    <t>dogmatisch</t>
  </si>
  <si>
    <t>snurkend</t>
  </si>
  <si>
    <t>slaapsprekend</t>
  </si>
  <si>
    <t>onzeker</t>
  </si>
  <si>
    <t>aantrekkelijk</t>
  </si>
  <si>
    <t>gepest</t>
  </si>
  <si>
    <t>aangerand</t>
  </si>
  <si>
    <t xml:space="preserve">lustfantasieën </t>
  </si>
  <si>
    <t>haatte</t>
  </si>
  <si>
    <t>smaad</t>
  </si>
  <si>
    <t>lesbisch</t>
  </si>
  <si>
    <t>manipulerend</t>
  </si>
  <si>
    <t>controlerend</t>
  </si>
  <si>
    <t>trickster</t>
  </si>
  <si>
    <t xml:space="preserve">autoritair </t>
  </si>
  <si>
    <t>wraakzuchtig</t>
  </si>
  <si>
    <t>scheepsarts</t>
  </si>
  <si>
    <t>clown</t>
  </si>
  <si>
    <t>tovenaar</t>
  </si>
  <si>
    <t>pierrot</t>
  </si>
  <si>
    <t>profeet</t>
  </si>
  <si>
    <t>charismatisch</t>
  </si>
  <si>
    <t>loszinnig</t>
  </si>
  <si>
    <t>kwakzalver</t>
  </si>
  <si>
    <t>sterke wil</t>
  </si>
  <si>
    <t>timide</t>
  </si>
  <si>
    <t xml:space="preserve">had </t>
  </si>
  <si>
    <t>sterk ego</t>
  </si>
  <si>
    <t>kende geen</t>
  </si>
  <si>
    <t>sati</t>
  </si>
  <si>
    <t>lafaard</t>
  </si>
  <si>
    <t>kon</t>
  </si>
  <si>
    <t>fenomenaal schieten</t>
  </si>
  <si>
    <t>had vaak</t>
  </si>
  <si>
    <t>migraine</t>
  </si>
  <si>
    <t>verwerkt</t>
  </si>
  <si>
    <t>op Sint Maarten</t>
  </si>
  <si>
    <t>met de helm geboren</t>
  </si>
  <si>
    <t>incarneert</t>
  </si>
  <si>
    <t>op 11:11</t>
  </si>
  <si>
    <t xml:space="preserve">reïncarnant </t>
  </si>
  <si>
    <t>hypervigilant</t>
  </si>
  <si>
    <t>suicabel</t>
  </si>
  <si>
    <t>compassieloos</t>
  </si>
  <si>
    <t>zelfveroordelend</t>
  </si>
  <si>
    <t>vroom</t>
  </si>
  <si>
    <t>introvert</t>
  </si>
  <si>
    <t>faalangstig</t>
  </si>
  <si>
    <t>schuldgevoelig</t>
  </si>
  <si>
    <t>reactief</t>
  </si>
  <si>
    <t>wantrouwde</t>
  </si>
  <si>
    <t>wereld</t>
  </si>
  <si>
    <t>bindingsangst</t>
  </si>
  <si>
    <t>waakzaam</t>
  </si>
  <si>
    <t>schijnonkwetsbaarheid</t>
  </si>
  <si>
    <t>voelde zich</t>
  </si>
  <si>
    <t>onwaardig</t>
  </si>
  <si>
    <t>gelooftwijfels</t>
  </si>
  <si>
    <t>eenzaam</t>
  </si>
  <si>
    <t>alert</t>
  </si>
  <si>
    <t>theoretisch</t>
  </si>
  <si>
    <t>haatdragend</t>
  </si>
  <si>
    <t>schaamtevol</t>
  </si>
  <si>
    <t>hardleers</t>
  </si>
  <si>
    <t>sterrenbeeld</t>
  </si>
  <si>
    <t>vissen</t>
  </si>
  <si>
    <t>stier</t>
  </si>
  <si>
    <t>steenbok</t>
  </si>
  <si>
    <t>waterdrager</t>
  </si>
  <si>
    <t>tweelingen</t>
  </si>
  <si>
    <t>maagd</t>
  </si>
  <si>
    <t>boogschutter</t>
  </si>
  <si>
    <t>schorpioen</t>
  </si>
  <si>
    <t>ram</t>
  </si>
  <si>
    <t>symboliseerde</t>
  </si>
  <si>
    <t>angst</t>
  </si>
  <si>
    <t xml:space="preserve">zonde </t>
  </si>
  <si>
    <t>lust</t>
  </si>
  <si>
    <t>hoogmoed</t>
  </si>
  <si>
    <t>hebzucht</t>
  </si>
  <si>
    <t>luiheid</t>
  </si>
  <si>
    <t>gulzigheid</t>
  </si>
  <si>
    <t>woede</t>
  </si>
  <si>
    <t>afgunst</t>
  </si>
  <si>
    <t>nymfomaan</t>
  </si>
  <si>
    <t>impulsief</t>
  </si>
  <si>
    <t>polyamoreus</t>
  </si>
  <si>
    <t>stiekem</t>
  </si>
  <si>
    <t>objectiverend</t>
  </si>
  <si>
    <t>feestbeest</t>
  </si>
  <si>
    <t>afstandelijk</t>
  </si>
  <si>
    <t>mannenverslinder</t>
  </si>
  <si>
    <t xml:space="preserve">Emma </t>
  </si>
  <si>
    <t>losbandig</t>
  </si>
  <si>
    <t xml:space="preserve">was </t>
  </si>
  <si>
    <t>profetispreekster</t>
  </si>
  <si>
    <t>sexverslaafd</t>
  </si>
  <si>
    <t>beschuldiger</t>
  </si>
  <si>
    <t>aanzienuitslover</t>
  </si>
  <si>
    <t>misleider</t>
  </si>
  <si>
    <t>bondjesvormer</t>
  </si>
  <si>
    <t>twistzaaier</t>
  </si>
  <si>
    <t>gewelddadig</t>
  </si>
  <si>
    <t>lijfeigene</t>
  </si>
  <si>
    <t>profiteur</t>
  </si>
  <si>
    <t>seksverslaafd</t>
  </si>
  <si>
    <t>huilebalk</t>
  </si>
  <si>
    <t>lezen en schrijven</t>
  </si>
  <si>
    <t>machiavellistisch</t>
  </si>
  <si>
    <t>peettante</t>
  </si>
  <si>
    <t>roddeltante</t>
  </si>
  <si>
    <t>moeder was</t>
  </si>
  <si>
    <t>hoer</t>
  </si>
  <si>
    <t>vader was</t>
  </si>
  <si>
    <t>boer</t>
  </si>
  <si>
    <t>was veel ouder dan</t>
  </si>
  <si>
    <t>praktisch</t>
  </si>
  <si>
    <t>dominant</t>
  </si>
  <si>
    <t>bijdehand</t>
  </si>
  <si>
    <t>frigide</t>
  </si>
  <si>
    <t>zwak</t>
  </si>
  <si>
    <t>schichtig</t>
  </si>
  <si>
    <t>bangig</t>
  </si>
  <si>
    <t>teleurgesteld</t>
  </si>
  <si>
    <t>gelovig</t>
  </si>
  <si>
    <t>sociaal angstig</t>
  </si>
  <si>
    <t>conformistisch</t>
  </si>
  <si>
    <t>onder-de-plak</t>
  </si>
  <si>
    <t>was zusje van</t>
  </si>
  <si>
    <t>prediker</t>
  </si>
  <si>
    <t>wetenschappelijk</t>
  </si>
  <si>
    <t>vooruitziend</t>
  </si>
  <si>
    <t>vernieuwend</t>
  </si>
  <si>
    <t xml:space="preserve">speelde </t>
  </si>
  <si>
    <t>prostituee</t>
  </si>
  <si>
    <t>las</t>
  </si>
  <si>
    <t>obsessief</t>
  </si>
  <si>
    <t>als coyote</t>
  </si>
  <si>
    <t>sexueel inzicht</t>
  </si>
  <si>
    <t>seksrebel</t>
  </si>
  <si>
    <t>moordenaar</t>
  </si>
  <si>
    <t>scheeparts</t>
  </si>
  <si>
    <t>oud</t>
  </si>
  <si>
    <t>hypochondrie</t>
  </si>
  <si>
    <t>melancholie</t>
  </si>
  <si>
    <t>intelligent</t>
  </si>
  <si>
    <t>schaker</t>
  </si>
  <si>
    <t>trots</t>
  </si>
  <si>
    <t>manipulatief</t>
  </si>
  <si>
    <t xml:space="preserve">Pollutie </t>
  </si>
  <si>
    <t>letterkundig</t>
  </si>
  <si>
    <t>werd genoemd</t>
  </si>
  <si>
    <t>vrouwvriendelijk</t>
  </si>
  <si>
    <t>vrijzinnig</t>
  </si>
  <si>
    <t>zielsreizen</t>
  </si>
  <si>
    <t>ascetisch</t>
  </si>
  <si>
    <t>gesloten</t>
  </si>
  <si>
    <t>hypocriet</t>
  </si>
  <si>
    <t>zelfzuchtig</t>
  </si>
  <si>
    <t>onecht</t>
  </si>
  <si>
    <t>geplastificeerd</t>
  </si>
  <si>
    <t>huichelaar</t>
  </si>
  <si>
    <t>leugenaar</t>
  </si>
  <si>
    <t>aanbad</t>
  </si>
  <si>
    <t>geloofkritisch</t>
  </si>
  <si>
    <t>boek van Enoch</t>
  </si>
  <si>
    <t>opvoeder</t>
  </si>
  <si>
    <t>beïnvloedbaar</t>
  </si>
  <si>
    <t>lustobject</t>
  </si>
  <si>
    <t>abdis</t>
  </si>
  <si>
    <t>uitbuitend</t>
  </si>
  <si>
    <t>oblaat</t>
  </si>
  <si>
    <t>invoelend</t>
  </si>
  <si>
    <t>knap</t>
  </si>
  <si>
    <t>jong</t>
  </si>
  <si>
    <t>welgemanierd</t>
  </si>
  <si>
    <t xml:space="preserve"> ‘Jager’</t>
  </si>
  <si>
    <t>sprak</t>
  </si>
  <si>
    <t>Grunnegs Platt</t>
  </si>
  <si>
    <t>discrimineerde</t>
  </si>
  <si>
    <t>joden</t>
  </si>
  <si>
    <t>paranoïde waanstoornis</t>
  </si>
  <si>
    <t>kritisch</t>
  </si>
  <si>
    <t>dienstbaar</t>
  </si>
  <si>
    <t>obsessie</t>
  </si>
  <si>
    <t>zuiverheid</t>
  </si>
  <si>
    <t>destructief</t>
  </si>
  <si>
    <t>doel</t>
  </si>
  <si>
    <t>balans</t>
  </si>
  <si>
    <t>relaties</t>
  </si>
  <si>
    <t>esthetiek</t>
  </si>
  <si>
    <t>harmonie</t>
  </si>
  <si>
    <t>verlangens</t>
  </si>
  <si>
    <t>excessen</t>
  </si>
  <si>
    <t>evenwicht</t>
  </si>
  <si>
    <t>aantrekkingskracht</t>
  </si>
  <si>
    <t>charmant</t>
  </si>
  <si>
    <t>gevoelig</t>
  </si>
  <si>
    <t>intens</t>
  </si>
  <si>
    <t>mystiek</t>
  </si>
  <si>
    <t>transformerend</t>
  </si>
  <si>
    <t>imperfect</t>
  </si>
  <si>
    <t>duisternis</t>
  </si>
  <si>
    <t>wedergeboorte</t>
  </si>
  <si>
    <t>vrijheidslievend</t>
  </si>
  <si>
    <t>sensueel</t>
  </si>
  <si>
    <t>ambitieus</t>
  </si>
  <si>
    <t>genot</t>
  </si>
  <si>
    <t>vrijheid</t>
  </si>
  <si>
    <t>rebels</t>
  </si>
  <si>
    <t>zelfexpressie</t>
  </si>
  <si>
    <t>controle</t>
  </si>
  <si>
    <t>charisma</t>
  </si>
  <si>
    <t>macht</t>
  </si>
  <si>
    <t>ego</t>
  </si>
  <si>
    <t>hard</t>
  </si>
  <si>
    <t>status</t>
  </si>
  <si>
    <t>invloed</t>
  </si>
  <si>
    <t>onconventioneel</t>
  </si>
  <si>
    <t>vastberaden</t>
  </si>
  <si>
    <t>onafhankelijk</t>
  </si>
  <si>
    <t>rationeel</t>
  </si>
  <si>
    <t>strategie</t>
  </si>
  <si>
    <t>dromerig</t>
  </si>
  <si>
    <t>escapistisch</t>
  </si>
  <si>
    <t>intuïtie</t>
  </si>
  <si>
    <t>creatief</t>
  </si>
  <si>
    <t>passief</t>
  </si>
  <si>
    <t>strijdlustig</t>
  </si>
  <si>
    <t>gulzig</t>
  </si>
  <si>
    <t>energie</t>
  </si>
  <si>
    <t>overdaad</t>
  </si>
  <si>
    <t>koppig</t>
  </si>
  <si>
    <t>sterk</t>
  </si>
  <si>
    <t>kracht</t>
  </si>
  <si>
    <t>beschermend</t>
  </si>
  <si>
    <t>dualistisch</t>
  </si>
  <si>
    <t>jaloers</t>
  </si>
  <si>
    <t>inzicht</t>
  </si>
  <si>
    <t>conflicten</t>
  </si>
  <si>
    <t>erkenning</t>
  </si>
  <si>
    <t>intellectueel</t>
  </si>
  <si>
    <t>emotioneel</t>
  </si>
  <si>
    <t>zorgzaam</t>
  </si>
  <si>
    <t>intuïtief</t>
  </si>
  <si>
    <t>liefde</t>
  </si>
  <si>
    <t>harmonisch</t>
  </si>
  <si>
    <t>visionair</t>
  </si>
  <si>
    <t>leidend</t>
  </si>
  <si>
    <t>inspiratie</t>
  </si>
  <si>
    <t>wijsheid</t>
  </si>
  <si>
    <t>verbonden</t>
  </si>
  <si>
    <t>zelfvertrouwen</t>
  </si>
  <si>
    <t>Halsketting</t>
  </si>
  <si>
    <t>kruis</t>
  </si>
  <si>
    <t>initialen</t>
  </si>
  <si>
    <t>Emmy's haren</t>
  </si>
  <si>
    <t>zijn</t>
  </si>
  <si>
    <t>armlengte lang</t>
  </si>
  <si>
    <t>zeer vruchtbaar</t>
  </si>
  <si>
    <t>kostbaar om te bezitten</t>
  </si>
  <si>
    <t>ophaalbrug</t>
  </si>
  <si>
    <t>moestuin</t>
  </si>
  <si>
    <t>boomgaard</t>
  </si>
  <si>
    <t>kapel</t>
  </si>
  <si>
    <t>refectorium</t>
  </si>
  <si>
    <t>scriptorium</t>
  </si>
  <si>
    <t>lag op</t>
  </si>
  <si>
    <t>verhoogd terras</t>
  </si>
  <si>
    <t>werd omringd door</t>
  </si>
  <si>
    <t>moeras</t>
  </si>
  <si>
    <t>vermomd als</t>
  </si>
  <si>
    <t>herberg</t>
  </si>
  <si>
    <t>sociale onrust</t>
  </si>
  <si>
    <t>een nieuwe sekte</t>
  </si>
  <si>
    <t>bevatte</t>
  </si>
  <si>
    <t>scènes van Artemis en Actaeon</t>
  </si>
  <si>
    <t>‘Landkwaad‘</t>
  </si>
  <si>
    <t>heette eigenlijk</t>
  </si>
  <si>
    <t>‘Het land waar ik door waad’</t>
  </si>
  <si>
    <t>buitenmuur</t>
  </si>
  <si>
    <t>Donjon</t>
  </si>
  <si>
    <t>binnenplaats</t>
  </si>
  <si>
    <t>stal</t>
  </si>
  <si>
    <t>werkplaats</t>
  </si>
  <si>
    <t>noodvoorraden</t>
  </si>
  <si>
    <t>een slank figuur</t>
  </si>
  <si>
    <t>gracht</t>
  </si>
  <si>
    <t>markt</t>
  </si>
  <si>
    <t>onheilspellend</t>
  </si>
  <si>
    <t>beerput</t>
  </si>
  <si>
    <t>voorburcht</t>
  </si>
  <si>
    <t>overgenomen stad</t>
  </si>
  <si>
    <t>was vernoemd naar</t>
  </si>
  <si>
    <t>"Paradise Lost"</t>
  </si>
  <si>
    <t>sekte</t>
  </si>
  <si>
    <t>corrupte gemeenschap</t>
  </si>
  <si>
    <t>stond metafoor voor</t>
  </si>
  <si>
    <t>erfzonden</t>
  </si>
  <si>
    <t>Aard</t>
  </si>
  <si>
    <t>Inzicht</t>
  </si>
  <si>
    <t>Phobos</t>
  </si>
  <si>
    <t>Mythologisch</t>
  </si>
  <si>
    <t>Phobos in de Griekse Mythologie als symbool voor angst en paniek en het gevaar van onzorgvuldigheid bij het negeren.</t>
  </si>
  <si>
    <t>Pascal</t>
  </si>
  <si>
    <t>Filosofisch</t>
  </si>
  <si>
    <t>Blaise Pascal schreef over de gevaren van libertijnse denkbeelden als een bedreiging voor de goddelijke orde en menselijke deugd.</t>
  </si>
  <si>
    <t>Maya</t>
  </si>
  <si>
    <t>Religieus</t>
  </si>
  <si>
    <t>Maya, de illusie, ondanks tijdelijke onthulling door angst als richtinggever, blijft verborgen in het onbewuste, waar het ego opnieuw controle probeert te winnen.</t>
  </si>
  <si>
    <t>Kafka</t>
  </si>
  <si>
    <t>De combinatie van een verborgen observator, een onbewuste overtreding, en een dreiging van veroordeling zonder proces of duidelijke aanklacht van een nog onduidelijke autoriteit, maakt de situatie voor Emmy potentieel ‘kafkaësk.’</t>
  </si>
  <si>
    <t>Middenweg</t>
  </si>
  <si>
    <t xml:space="preserve">De kern van de Middenweg is de expliciete oproep om niet naar de uitersten te grijpen (volledige ontkenning of excessief genot), maar te balanceren. </t>
  </si>
  <si>
    <t>Gouden kalf</t>
  </si>
  <si>
    <t>Het gouden kalf wordt vaak geïnterpreteerd als een symbool van menselijke neiging om materiële of tijdelijke zaken te verafgoden in plaats van hogere, spirituele waarden.</t>
  </si>
  <si>
    <t>Hume</t>
  </si>
  <si>
    <t>David Hume benadrukt dat moraal geen objectieve waarheid is, maar geworteld in menselijke emoties en sociale context.</t>
  </si>
  <si>
    <t>Barmhartigheid</t>
  </si>
  <si>
    <t>De vraag "Wat is barmhartigheid?" roept een reflectie op over mededogen en de menselijke drijfveren daarvoor.</t>
  </si>
  <si>
    <t>George Fox' Innerlijk Licht</t>
  </si>
  <si>
    <t>De notie van intuïtie en geloof als vrije wil verwijst naar de Quaker-leer, met nadruk op persoonlijke verlichting.</t>
  </si>
  <si>
    <t>Filosoleren</t>
  </si>
  <si>
    <t>Het vermogen tot reflectie en diepgaand denken wordt gesuggereerd als een leidende praktijk in Emmy’s reis.</t>
  </si>
  <si>
    <t>Godsbewustzijn</t>
  </si>
  <si>
    <t>Spiritueel</t>
  </si>
  <si>
    <t>Het concept van een "onbegrensd zijn" verwijst naar een eenheidservaring binnen het goddelijke.</t>
  </si>
  <si>
    <t>Eshu</t>
  </si>
  <si>
    <t>De verwijzing naar Eshu  als Trickster illustreert het concept van dualiteit en misleiding in de menselijke geest.</t>
  </si>
  <si>
    <t>Hydra</t>
  </si>
  <si>
    <t>De metafoor van de Hydra reflecteert op hoe confrontatie met problemen soms meerdere uitdagingen creëert.</t>
  </si>
  <si>
    <t>Kloostercultuur</t>
  </si>
  <si>
    <t>Sociologisch</t>
  </si>
  <si>
    <t>Het klooster als systeem van afzondering en focus op spirituele en intellectuele ontwikkeling.</t>
  </si>
  <si>
    <t>Constructivisme</t>
  </si>
  <si>
    <t>Leerfilosofisch</t>
  </si>
  <si>
    <t>Het idee dat Emmy een verhaal "verdicht" als kapstok om losse stukjes te verbinden, weerspiegelt het constructivisme, dat stelt dat kennis wordt opgebouwd door individuele ervaringen en interpretaties samen te voegen tot een groter geheel.</t>
  </si>
  <si>
    <t>Holisme</t>
  </si>
  <si>
    <t>De nadruk op het begrijpen van "het grote geheel" voordat losse elementen betekenis krijgen, verwijst naar een holistische benadering van leren en kennis.</t>
  </si>
  <si>
    <t>Panta Rhei</t>
  </si>
  <si>
    <t>Heraclitus’ uitspraak "alles stroomt" wordt gebruikt als een metafoor voor de constante beweging en verandering in het universum en de menselijke ziel.</t>
  </si>
  <si>
    <t>Job</t>
  </si>
  <si>
    <t>De verwijzing naar Job symboliseert hoe natuurprocessen, zoals verdamping en regen, parallel lopen aan spirituele lessen over cycli en vergankelijkheid.</t>
  </si>
  <si>
    <t>De Tao</t>
  </si>
  <si>
    <t>Water als metafoor voor de Tao: het mijdt weerstand, beweegt natuurlijk en bereikt een diepere betekenis zonder dwang. Het symboliseert moeiteloos handelen in harmonie met de natuur.</t>
  </si>
  <si>
    <t>Waterkringloop</t>
  </si>
  <si>
    <t>Natuurwetenschappelijk</t>
  </si>
  <si>
    <t>Het beschreven proces van verdamping, regen en rivieren die de zee voeden, is een duidelijke verwijzing naar de waterkringloop. Dit symboliseert de eeuwige cyclus van leven en energie.</t>
  </si>
  <si>
    <t>Thermoregulatie</t>
  </si>
  <si>
    <t>Emmy’s ijsbaden en het effect daarvan op haar lichaam tonen het principe van thermoregulatie: hoe het menselijk lichaam zich aanpast aan extreme temperaturen en de voordelen van koude-exposure.</t>
  </si>
  <si>
    <t>Doopgeboorte</t>
  </si>
  <si>
    <t>De geboorte in water wordt verbonden met de doop als een zuiveringsritueel. Dit symboliseert een zondeloze start en het spiritueel beschermen van een kind tegen kwaad.</t>
  </si>
  <si>
    <t>Levenswater</t>
  </si>
  <si>
    <t>Water wordt gepresenteerd als de bron van alle leven, essentieel voor geboorte, groei en harmonie. Het benadrukt de afhankelijkheid van de mensheid en de natuur van deze elementaire kracht.</t>
  </si>
  <si>
    <t>Leren vraagt schuren</t>
  </si>
  <si>
    <t>Het proces van leren wordt voorgesteld als iets dat weerstand en ongemak (kilte, schuren) vereist, en benadrukt dat groei voortkomt uit het overwinnen van uitdagingen.</t>
  </si>
  <si>
    <t>Reflectief leren</t>
  </si>
  <si>
    <t>Overmatig reflecteren zonder juiste begeleiding of ondersteuning kan leiden tot rumineren</t>
  </si>
  <si>
    <t>Witte wief</t>
  </si>
  <si>
    <t>Het witte wief als droombeeld sluit aan bij de volksverhalen waarin witte wieven als geesten of waarzeggers optreden en vaak waarschuwen voor gevaar.</t>
  </si>
  <si>
    <t>Angst als illusie</t>
  </si>
  <si>
    <t>Emmy’s angst blijkt een “uitvlucht”, een cognitieve constructie die haar scheidt van de werkelijkheid en haar keuzes beperkt.</t>
  </si>
  <si>
    <t>Godvergetelheid</t>
  </si>
  <si>
    <t>Emmy, door zich te verliezen in haar angsten en reflecties, verliest haar spirituele verbinding met God.</t>
  </si>
  <si>
    <t>De macht van de landheer en het bisdom om wetten in te voeren en gevluchte boeren vogelvrij te verklaren, laat zien hoe elitegroepen controle uitoefenen over lagere klassen.</t>
  </si>
  <si>
    <t>Een volksverhaal over reuzen in Midden-Drenthe, dat gebruikt wordt om angst en onderwerping te versterken.</t>
  </si>
  <si>
    <t>Mammon</t>
  </si>
  <si>
    <t>Emmy’s afwijzing van materiële rijkdom en haar associatie van rijkdom met hebzucht en zondigheid verwijzen naar Mammon, de demon van hebzucht in christelijke tradities.</t>
  </si>
  <si>
    <t>Zelf als constructie</t>
  </si>
  <si>
    <t>Emmy’s "zelf" is ontstaan als een tegenwicht tegen angst, wat aansluit bij constructivistische theorieën over identiteit als een door ervaring gevormde constructie.</t>
  </si>
  <si>
    <t>Existentiële onzekerheid</t>
  </si>
  <si>
    <t>Emmy ervaart een diep gevoel van onzekerheid en verlatenheid wanneer haar vader haar bescherming niet garandeert.</t>
  </si>
  <si>
    <t>Massaconformiteit</t>
  </si>
  <si>
    <t>De neiging van individuen om zich te verschuilen achter dogma's en de massa, zoals beschreven door Kierkegaard.</t>
  </si>
  <si>
    <t>Kolossenzen 3 vers 18</t>
  </si>
  <si>
    <t>Gij vrouwen, zijt uw eigen mannen onderdanig, gelijk het betaamt in den Heere.</t>
  </si>
  <si>
    <t>Parentificatie</t>
  </si>
  <si>
    <t>Psychologisch</t>
  </si>
  <si>
    <t>De rolomkering waarbij een kind verantwoordelijkheden op zich neemt die normaal bij een ouder horen, zoals Emmy die de last van haar moeder moet dragen.</t>
  </si>
  <si>
    <t>Thomas van Aquino</t>
  </si>
  <si>
    <t>Stelde dat seks zonder de intentie tot voortplanting onnatuurlijk was en een zonde kon zijn.</t>
  </si>
  <si>
    <t xml:space="preserve">Onan </t>
  </si>
  <si>
    <t>Genesis 38:8-10 (Onan en coïtus interruptus)</t>
  </si>
  <si>
    <t>Sara</t>
  </si>
  <si>
    <t>De bijbelse Sara kreeg op hoge leeftijd alsnog een kind.</t>
  </si>
  <si>
    <t>Kierkegaard</t>
  </si>
  <si>
    <t>Kierkegaard stelt dat ware liefde onvoorwaardelijk is en een sprong in het geloof vereist.</t>
  </si>
  <si>
    <t>Lukas 6:32-36</t>
  </si>
  <si>
    <t>Jezus leert dat ware liefde onvoorwaardelijk en niet selectief mag zijn.</t>
  </si>
  <si>
    <t>Basale angst</t>
  </si>
  <si>
    <t>Basale angst is de oerangst die voortkomt uit de ervaring van afgescheidenheid van het zelf en de omgeving. Het manifesteert zich als een diepgeworteld, onbestemd gevoel van onveiligheid, niet gekoppeld aan directe externe bedreigingen.</t>
  </si>
  <si>
    <t>Stampend Leren</t>
  </si>
  <si>
    <t>Herhaling en ritmische inslijping vormen de basis van initiële kennisverwerving. Door herhaling worden neurale paden versterkt, waardoor informatie beklijft, maar de diepgang van begrip kan achterblijven.</t>
  </si>
  <si>
    <t>Modelleren</t>
  </si>
  <si>
    <t>Nabootsing zonder diepgaand inzicht verandert de leraar in een wachter van vaste patronen in plaats van een gids naar begrip.</t>
  </si>
  <si>
    <t>Competitief leren</t>
  </si>
  <si>
    <t>De leraar in Emmy’s school duwt leerlingen naar prestatie via competitie en discipline, een methode die aansluit bij strenge, traditionele onderwijssystemen.</t>
  </si>
  <si>
    <t>Meester-gezelprincipe</t>
  </si>
  <si>
    <t>Oudere leerlingen helpen de jongere, wat verwijst naar een traditionele, hiërarchische leerstructuur waarin kennis geleidelijk wordt doorgegeven.</t>
  </si>
  <si>
    <t>Kosmische verbondenheid</t>
  </si>
  <si>
    <t>Een panentheïstisch wereldbeeld waarin God niet alleen transcendent, maar ook immanent is: overal in het universum aanwezig.</t>
  </si>
  <si>
    <t>Lichaam als tempel</t>
  </si>
  <si>
    <t>Het christelijke idee dat het lichaam een tempel is voor de geest (1 Korinthiërs 6:19-20), waarin de ziel zich manifesteert en God reflecteert.</t>
  </si>
  <si>
    <t>Goddelijke vonk</t>
  </si>
  <si>
    <t>De neoplatonische en hindoeïstische concepten waarin de ziel een goddelijke vonk is die zich steeds opnieuw verbindt met het goddelijke.</t>
  </si>
  <si>
    <t>Monisme</t>
  </si>
  <si>
    <t>Een materialistisch of monistisch perspectief, waarin de geest als een emergent fenomeen van de hersenen wordt beschouwd (zoals bij Spinoza of modern neurowetenschappelijk denken).</t>
  </si>
  <si>
    <t>De geest als brug</t>
  </si>
  <si>
    <t>Een dualistische opvatting, waarin de geest een bemiddelaar is tussen lichaam en ziel (vergelijkbaar met Descartes' ‘res cogitans’ en ‘res extensa’).</t>
  </si>
  <si>
    <t xml:space="preserve">Vergankelijkheid </t>
  </si>
  <si>
    <t>Existentialistische en boeddhistische filosofieën over de tijdelijke en lijdende aard van het lichaam.</t>
  </si>
  <si>
    <t xml:space="preserve">Neurowetenschap </t>
  </si>
  <si>
    <t>Neurowetenschappelijk begrip dat de geest het resultaat is van hersenactiviteit en sensorische input.</t>
  </si>
  <si>
    <t>Johannes 1:14</t>
  </si>
  <si>
    <t>Johannes 1:14 – "Het Woord is vlees geworden". Het moment waarop de universele waarheid en goddelijke wijsheid zich volledig manifesteren in de materiële wereld.</t>
  </si>
  <si>
    <t xml:space="preserve">Pythagoras </t>
  </si>
  <si>
    <t>Pythagoras’ vegetarische overtuiging en zijn nadruk op wiskundige zuiverheid (kwadraten, wortels) symboliseert morele en rationele levenswijsheid.</t>
  </si>
  <si>
    <t>Rumi</t>
  </si>
  <si>
    <t xml:space="preserve">Emmy’s ‘snijwond’ symboliseert de kwetsbare opening waar ‘het licht’ binnenkomt, vergelijkbaar met Rumi’s idee van spirituele kwetsbaarheid als toegang tot het goddelijke. </t>
  </si>
  <si>
    <t xml:space="preserve">Paniek </t>
  </si>
  <si>
    <t>Psychologie</t>
  </si>
  <si>
    <t>Niet-verwerkte emoties kunnen “onder de radar” blijven doorwerken in zowel gedrag als lichamelijke reacties, juist als men zich er niet actief van bewust is en in paniek ontaarden.</t>
  </si>
  <si>
    <t>Draag je eigen kruis</t>
  </si>
  <si>
    <t xml:space="preserve">Religieus </t>
  </si>
  <si>
    <t>Kou en lichamelijk ongemak leiden tot opwinding, verhoogde alertheid en spirituele verdieping geïnspireerd door de oproep van Sint-Franciscus (“draag je eigen kruis”).</t>
  </si>
  <si>
    <t>Gods wil</t>
  </si>
  <si>
    <t>De theologische vraag of haar lot door God voorbestemd is of dat zij daar zelf invloed op heeft (vrije wil vs. voorbeschikking).</t>
  </si>
  <si>
    <t xml:space="preserve">Fatalisme </t>
  </si>
  <si>
    <t>Het idee dat alle gebeurtenissen onvermijdelijk zijn en vooraf bepaald door een hogere macht</t>
  </si>
  <si>
    <t>Timor Dei</t>
  </si>
  <si>
    <t>Augustinus' visie dat godsvrees iemand leidt naar de goddelijke wil.</t>
  </si>
  <si>
    <t>Prooidier</t>
  </si>
  <si>
    <t>Basale biologische en sociale overlevingsmechanismen (alertheid, angst, vluchten) zijn bepalend voor gedrag in een dreigende omgeving.</t>
  </si>
  <si>
    <t>Slaafse angst</t>
  </si>
  <si>
    <t>De term “slaafse angst” verwijst naar de verlammende vrees die voortkomt uit het leven onder strikte wetten en straffen.</t>
  </si>
  <si>
    <t>Vrijzwevende angst</t>
  </si>
  <si>
    <t>De “vrijzwevende angst” volgens Freud, waar Emmy aan lijdt, duidt op een onbestemde, niet aan een concrete oorzaak gebonden vrees die haar continu onrustig maakt en haar vecht-vluchtreacties versterkt.</t>
  </si>
  <si>
    <t>Friedrich von Schelling</t>
  </si>
  <si>
    <t>Schellings ‘vrijheid als mogelijkheid voor goed en kwaad’</t>
  </si>
  <si>
    <t>Vrij leren</t>
  </si>
  <si>
    <t>Vrij leren is het in volledige vrijheid leren. Zowel vrijheid als manier van leren als leren over vrijheid (van geest en mening).</t>
  </si>
  <si>
    <t xml:space="preserve">Anaximander </t>
  </si>
  <si>
    <t>Deze Griekse filosoof suggereerde dat het leven oorspronkelijk in water ontstond en dat de mens mogelijk afstamt van visachtige wezens die zich aanpasten aan het leven op het land.</t>
  </si>
  <si>
    <t xml:space="preserve">Evolutie </t>
  </si>
  <si>
    <t>Evolutie als vrijheid in actie middels het ontstaan van soorten</t>
  </si>
  <si>
    <t>Onzekerheid</t>
  </si>
  <si>
    <t>De steile, afglijdende vluchtweg en de daaropvolgende val symboliseren de constante onzekerheid en de onverwachte wendingen in het leven, die maken dat controle uiteindelijk illusoir is.</t>
  </si>
  <si>
    <t>Arm van geest</t>
  </si>
  <si>
    <t>Jezus prees de "armoede van geest" als een deugd, waarin een persoon niet wordt belast door intellectuele hoogmoed of zelfoverschatting, maar in nederigheid en eenvoud vertrouwt op God.</t>
  </si>
  <si>
    <t>Olympus</t>
  </si>
  <si>
    <t>De vergelijking van het gewone volk met de Griekse goden van Olympus wijst op een volkse tegenbeweging: zij vereren niet alleen de goden, maar ook hun eigen rebellen.</t>
  </si>
  <si>
    <t>Pandora’s doos</t>
  </si>
  <si>
    <t>Emmy’s klaproos staat mogelijk voor een fatale ontdekking of het openen van een gevaarlijk geheim, zoals Pandora’s doos in de Griekse mythologie.</t>
  </si>
  <si>
    <t>Voortplantingsdrift</t>
  </si>
  <si>
    <t>De jager vreest het uitsterven van zijn bloedlijn, wat een natuurlijke drang is bij de mens</t>
  </si>
  <si>
    <t>Matteüs 19:26</t>
  </si>
  <si>
    <t>De jager grijpt uiteindelijk naar religieuze teksten (zoals Matteüs) om hoop te putten, maar dit leidt niet tot een oplossing.</t>
  </si>
  <si>
    <t xml:space="preserve">Generativiteit </t>
  </si>
  <si>
    <t>Erik Erikson beschrijft Generativiteit vs. Stagnatie als de ontwikkelingsfase die mensen in de middelbare leeftijd doormaken, als het verlangen om iets blijvends achter te laten.</t>
  </si>
  <si>
    <t>De Kikkerkoning</t>
  </si>
  <si>
    <t xml:space="preserve">Verwijzing naar het sprookje van de kikker die uiteindelijk een prins blijkt. In het gedicht staat de kikker symbool voor verborgen macht en een onverwachte wending (de “jager” is hier de kikker), wat laat zien dat niet alles is wat het lijkt. </t>
  </si>
  <si>
    <t>Actaeon en Artemis</t>
  </si>
  <si>
    <t>Verhaal uit de Griekse mythologie. Actaeon zag per ongeluk de godin Artemis naakt baden, werd in een hert veranderd en door zijn eigen honden verslonden. Het gedicht legt de nadruk op een goede intentie is geen garantie op veiligheid.</t>
  </si>
  <si>
    <t xml:space="preserve">Anticipatieangst </t>
  </si>
  <si>
    <t>Het idee dat (een deel van) onze angst geen directe reactie op de huidige werkelijkheid is, maar vooral een voorspelling van herhaling van vroegere pijn (“oud zeer”).</t>
  </si>
  <si>
    <t xml:space="preserve">Het loslaten en bewust beleven van angst (overgave) is een betere manier dan deze te bestrijden. </t>
  </si>
  <si>
    <t>De essentie van verlatingsangst is liever jezelf verloochenen en alles doen om de ander maar niet kwijt te raken, dan risico lopen op verlating.</t>
  </si>
  <si>
    <t>Iemand die uit paniek of bedreigd gevoel niet vlucht, maar letterlijk de bron van de angst probeert te vernietigen.</t>
  </si>
  <si>
    <t>Martin Heidegger</t>
  </si>
  <si>
    <t>Een overdreven abstracte of puur theoretische benadering het authentieke menselijk bestaan kan “vervlakken”.</t>
  </si>
  <si>
    <t>Sint-Jansvuur</t>
  </si>
  <si>
    <t>Johannes de Doper en zijn vreugdevuren komen terloops voorbij als verwijzing naar een christelijke traditie van zuivering en vernieuwing.</t>
  </si>
  <si>
    <t>Angst voor het duister</t>
  </si>
  <si>
    <t>Het prooidier in ons roept zorgt dat het onzichtbare en onbenoemde een diepgewortelde vrees oproept.</t>
  </si>
  <si>
    <t>Stelde in zijn Summa Theologica dat wellust de rede van de mens kan benevelen, waardoor hij zijn moreel kompas verliest.</t>
  </si>
  <si>
    <t>Landgoed als angstmodel</t>
  </si>
  <si>
    <t>Het landgoed ‘Landkwaad’ fungeert als metafoor voor hoe angst zich manifesteert en organiseert: de buitenmuur representeert zelfbescherming, de gracht opgeslagen emotionele pijn, de Donjon het gekwetste innerlijk, de poorten de selectieve toegang tot de ziel, de marktplaats de onderhandelingsstrategieën van het ego, en het bordeel aan de rand de verdrongen lusten of schaduwen. Angst wordt zo tastbaar en visueel navigeerbaar als een ruimtelijk concept.</t>
  </si>
  <si>
    <t>Friedrich Nietzsche</t>
  </si>
  <si>
    <t>In Also sprach Zarathustra beschrijft Nietzsche de “drie gedaanten” van de geest: kameel (lastdrager), leeuw (opstandeling) en kind (scheppende onschuld). Het ‘kind’ staat voor de hoogste levensfase — creativiteit en levensvernieuwing.</t>
  </si>
  <si>
    <t>Dysfunctie</t>
  </si>
  <si>
    <t>Dysfunctie binnen relaties, systemen of individuen ontstaat niet uit slechtheid of onvermogen, maar uit diepgewortelde angst.</t>
  </si>
  <si>
    <t>Dochter van Mara</t>
  </si>
  <si>
    <t>Net als de dochters van Māra die Boeddha probeerden af te leiden op het moment van zijn ontwaken, vormt de schoonheid van de jonge vrouw een beproeving voor de landheer. Zijn rationele geest wordt tijdelijk verblind door begeerte, die zich vermomt als esthetische bewondering.</t>
  </si>
  <si>
    <t>Neurale paden</t>
  </si>
  <si>
    <t>De vergelijking tussen kronkelige toegangspaden en neurale banen weerspiegelt het idee dat onze hersenen — net als een landschap — paden aanleggen op basis van gewoonte, ervaring en emotie. In een ‘maniakale’ geest zijn deze paden scheef gegroeid: ze zijn smal, moeilijk begaanbaar, vol modder en duisternis.</t>
  </si>
  <si>
    <t>Identity-based motivation</t>
  </si>
  <si>
    <t>IBM van Daphna Oyserman zegt dat wat relevant is voor het zelf, zet aan tot actie.</t>
  </si>
  <si>
    <t>Projectie</t>
  </si>
  <si>
    <t>Emmy doorziet dat haar moeder haar eigen verlangens en tekortkomingen projecteert op haar.</t>
  </si>
  <si>
    <t>Balk en splinter</t>
  </si>
  <si>
    <t>Mattheüs 7:3: De moeder ziet de ‘splinter’ bij Emmy maar niet de ‘balk’ in haar eigen oog, een klassiek voorbeeld van hypocrisie.</t>
  </si>
  <si>
    <t>Anubhava</t>
  </si>
  <si>
    <t>Emmy zoekt persoonlijke ervaring van waarheid in plaats van geleerd dogma.</t>
  </si>
  <si>
    <t>L'enfer, c’est les autres</t>
  </si>
  <si>
    <t>Filosofie</t>
  </si>
  <si>
    <t>Verwijzing naar Sartre: anderen zijn de hel, vooral relevant voor Emmy’s relatie tot haar moeder.</t>
  </si>
  <si>
    <t>Lot en de Leviet</t>
  </si>
  <si>
    <t>Genesis 19:8 &amp; Rechters 19:24-25: Emmy refereert aan Lot en de Leviet die hun dochters/vrouwen offeren aan een woedende menigte; het lichaam als ruilmiddel voor veiligheid.</t>
  </si>
  <si>
    <t>Natuurwetenschap</t>
  </si>
  <si>
    <t>Verwijzing naar bonobo’s die seks gebruiken om conflicten te dempen – als analogie voor Emmy’s strategie.</t>
  </si>
  <si>
    <t>Zelfhulp en theologie</t>
  </si>
  <si>
    <t>Moeder gebruikt religieuze teksten ter rechtvaardiging van agressie en dogma, in plaats van empathie.</t>
  </si>
  <si>
    <t>Erich Fromm</t>
  </si>
  <si>
    <t>Erich Fromm: Dogma als afweermechanisme. Moeder gebruikt religieuze dogma's om haar emoties niet onder ogen te hoeven zien.</t>
  </si>
  <si>
    <t>Mattheüs 19:14</t>
  </si>
  <si>
    <t>Laat de kinderen tot mij komen. Moeder citeert deze uitspraak van Jezus om haar opvoedingsstijl of autoriteit religieus te onderbouwen, maar verdraait zo de oorspronkelijke betekenis van openheid en onschuld naar controle en uitsluiting.</t>
  </si>
  <si>
    <t>Lucas 18:9-14</t>
  </si>
  <si>
    <t>Moeder gebruikt Lucas’ evangelie om Emmy’s vragen af te doen als bewijs van haar onzekerheid: ze stelt dat Emmy’s stelligheid voortkomt uit onzekerheid — wat ironisch genoeg zelf een stellige claim is.</t>
  </si>
  <si>
    <t>Georges Bataille</t>
  </si>
  <si>
    <t>Bataille zag erotiek als een manier om taboes te doorbreken en daardoor tot diepere inzichten te komen over de menselijke conditie.</t>
  </si>
  <si>
    <t>Zelfbevrediging</t>
  </si>
  <si>
    <t>De abt stelt dat de neiging van de jongens om zichzelf te bevredigen door God is geschapen.</t>
  </si>
  <si>
    <t>Groepsdruk</t>
  </si>
  <si>
    <t>De groepsdruk onder de jongens en de gedeelde verantwoordelijkheid (niemand grijpt in) illustreren hoe sociale dynamieken pesterijen kunnen normaliseren en versterken</t>
  </si>
  <si>
    <t xml:space="preserve">Loyaliteitsconflict </t>
  </si>
  <si>
    <t xml:space="preserve">Kinderen laten het melden van pesterijen achterwege om hun ouders niet te belasten of teleur te stellen. </t>
  </si>
  <si>
    <t>Angst voor verlies wordt haat</t>
  </si>
  <si>
    <t>De angst om iets of iemand te verliezen, wanneer die onbeheerst blijft, zich kan omvormen tot woede of haat.</t>
  </si>
  <si>
    <t>Marcel Messing</t>
  </si>
  <si>
    <t>Het werk van Marcel Messing, die spirituele inzichten over engelen, lichtwezens en een verborgen werkelijkheid deelt. Hier wordt die spirituele overtuiging gepresenteerd als iets dat ook manipulatief kan worden gebruikt, wat aansluit bij zijn waarschuwingen over valse lichtbrengers.</t>
  </si>
  <si>
    <t>Angst als kernprobleem</t>
  </si>
  <si>
    <t>Angst wordt beschreven als de kern van menselijk lijden en de bron van mentale verstoringen; het verkennen ervan leidt tot heling.</t>
  </si>
  <si>
    <t>Stoïcisme</t>
  </si>
  <si>
    <t>De grijns van de profeet wordt ‘quasi stoïcijns’ genoemd, waarmee wordt verwezen naar emotionele beheersing ondanks chaos.</t>
  </si>
  <si>
    <t>Vrees niet – Jesaja</t>
  </si>
  <si>
    <t>Messing verwijst naar de Bijbel (Jesaja) waarin staat: "Vrees niet, Ik ben met u", als antwoord op Emmy’s angst.</t>
  </si>
  <si>
    <t>Krishna en Arjuna</t>
  </si>
  <si>
    <t>De Bhagavad Gita wordt genoemd waarin Krishna Arjuna aanmoedigt zijn angst te overwinnen en zijn plicht te vervullen.</t>
  </si>
  <si>
    <t>Tabula rasa – John Locke</t>
  </si>
  <si>
    <t>Aangehaald bij de doopnamen om aan te geven dat kinderen onbeschreven beginnen, met vrijheid voor opvoeding en ervaring.</t>
  </si>
  <si>
    <t>Cogito, ergo sum – Descartes</t>
  </si>
  <si>
    <t>De uitspraak “Ik denk dus ik ben” wordt genoemd als bevestiging van het bewustzijn als fundament van het bestaan.</t>
  </si>
  <si>
    <t>Rede als vrijheid – Spinoza</t>
  </si>
  <si>
    <t>Spinoza's inzicht dat vrijheid ontstaat als de mens wordt geleid door rede, wordt geciteerd bij de doopplechtigheid.</t>
  </si>
  <si>
    <t>Anansi, Hermes, Loki</t>
  </si>
  <si>
    <t>Mythisch</t>
  </si>
  <si>
    <t>De tricksterfiguren symboliseren manipulatie en angstgedreven autonomie, waarmee Messing zich identificeert.</t>
  </si>
  <si>
    <t xml:space="preserve">Clown </t>
  </si>
  <si>
    <t>De clownfiguur (Joker, Pierrot) is een symbool van dualiteit: chaos en heling, humor en horror, zoals Messing's profeet.</t>
  </si>
  <si>
    <t>Getsemane</t>
  </si>
  <si>
    <t>Het Getsemane-gebed wordt gezien als het moment waarin Jezus Christus zich overgeeft aan de wil van God, ondanks zijn wens dat de beker van lijden aan hem voorbijgaat. Dit moment symboliseert het menselijke gevecht tussen angst en overgave aan een hogere wil.</t>
  </si>
  <si>
    <t>Schopenhauer</t>
  </si>
  <si>
    <t>Volgens Schopenhauer is de ‘taaie wil’ een universele drijvende kracht die de mens tot lijden brengt. Het individu kan deze wil niet volledig controleren, maar volgens hem is het erkennen en overstijgen van deze wil mogelijk.</t>
  </si>
  <si>
    <t>Anatta (niet-zelf)</t>
  </si>
  <si>
    <t>Anatta verwijst naar de afwezigheid van een permanent, onveranderlijk zelf. Boeddhistische leerstellingen stellen dat emoties en gedachten slechts tijdelijke fenomenen zijn, en dat er geen vast ‘ik’ is dat deze fenomenen ervaart.</t>
  </si>
  <si>
    <t>Kinderen die willen</t>
  </si>
  <si>
    <t>Individuen worden geconditioneerd door sociale normen en opvoeding. Angst en schaamte kunnen worden versterkt door herhaalde associatie (bijvoorbeeld door het opvoedkundige adagium “kinderen die willen, krijgen voor hun billen”).</t>
  </si>
  <si>
    <t>Noche Oscura</t>
  </si>
  <si>
    <t>De ‘Donkere Nacht van de Ziel’ is een proces van diepe spirituele crisis waarin de mens zich afgesneden voelt van God en alles wat betekenis geeft. Het wordt beschouwd als een noodzakelijk stadium van spirituele groei en transformatie.</t>
  </si>
  <si>
    <t xml:space="preserve">Sati </t>
  </si>
  <si>
    <t>Sati is een kernbegrip in boeddhistische meditatie en betekent het vermogen om volledig aanwezig te zijn in het moment, zonder te worden meegesleept door verleden of toekomst.</t>
  </si>
  <si>
    <t>Angst als zwakte</t>
  </si>
  <si>
    <t>In veel samenlevingen wordt angst vaak gezien als een zwakte, terwijl het in feite een natuurlijke reactie is op gevaar. Deze sociale perceptie kan leiden tot onderdrukking van angst en verhoogde schaamte bij individuen.</t>
  </si>
  <si>
    <t>Vrije wil versus determinisme</t>
  </si>
  <si>
    <t>Het debat over vrije wil en determinisme stelt dat emoties en handelen vaak het resultaat zijn van onbewuste processen eerder dan bewuste keuzes. Dit roept vragen op over de mate van controle die mensen hebben over hun reacties in extreme situaties.</t>
  </si>
  <si>
    <t>Paniek</t>
  </si>
  <si>
    <t>Lichamelijke reacties zoals versnelde hartslag en verlies van controle (bijv. plassen) zijn gevolg van activatie van het autonome zenuwstelsel door overweldigende angst. Hersenen en lichaam reageren instinctief, vaak buiten de controle van het individu.</t>
  </si>
  <si>
    <t>Apatheia</t>
  </si>
  <si>
    <t>De impliciete zoektocht naar emotionele onthechting (apatheia) is herkenbaar in Emmy’s strijd met haar emoties.</t>
  </si>
  <si>
    <t>Leibniz’ theodicee</t>
  </si>
  <si>
    <t>De vraag “Waarom wordt het slechter terwijl het al slecht is?” weerspiegelt een pessimistische variant van Leibniz’ theodicee. Het roept het idee op dat ondanks alle lijden, dit misschien de minst slechte wereld is, hoewel dit nergens expliciet wordt opgelost.</t>
  </si>
  <si>
    <t>Voltaire’s Candide</t>
  </si>
  <si>
    <t>Hij wilde een kritiek leveren op het metafysisch optimisme van Leibniz, dat destijds populair werd via de geschriften van Leibniz' volgeling Christian Wolff.</t>
  </si>
  <si>
    <t>Boom van Kennis</t>
  </si>
  <si>
    <t>Het beeld van de “vrucht die het goed en kwaad duidt” verwijst naar de bijbelse boom van kennis. Emmy’s verwarring omtrent haar wil sluit aan bij dit archetypische beeld van moreel conflict.</t>
  </si>
  <si>
    <t>Het voelen zonder taal</t>
  </si>
  <si>
    <t>Het denken voorbij woorden en verhalen (“het voelen zonder taal… het woelen zonder verhaal”) is een kernprincipe in Zen Boeddhisme en wordt gesuggereerd als een mogelijke weg voor Emmy’s bevrijding.</t>
  </si>
  <si>
    <t>Jean-Paul Sartre</t>
  </si>
  <si>
    <t>Sartre stelde dat vrijheid verantwoordelijkheidsdruk kan veroorzaken, wat angst of radeloosheid oproept.</t>
  </si>
  <si>
    <t>Psychologish</t>
  </si>
  <si>
    <t>Erich Fromm, De angst voor vrijheid : Angst ontstaat door keuzes en verantwoordelijkheden die een individu bewust ervaart, en kan leiden tot een terugkeer naar autoritaire structuren.</t>
  </si>
  <si>
    <t>Aristoteles</t>
  </si>
  <si>
    <t>Volgens Aristoteles kan angst gepaard gaan met moed, en biedt het inzicht dat tot wijsheid kan leiden.</t>
  </si>
  <si>
    <t xml:space="preserve">Fenomenologie </t>
  </si>
  <si>
    <t>Angst kan gezien worden als een directe ervaring van dreiging en een essentiële component van menselijke bewustzijn.</t>
  </si>
  <si>
    <t>Zwaard van Damocles</t>
  </si>
  <si>
    <t>Het zwaard boven Emmy’s hoofd symboliseert de constante dreiging en spanning, zoals in de Griekse legende waarin Damocles leert over de fragiele en gevaarlijke aard van macht en geluk.</t>
  </si>
  <si>
    <t xml:space="preserve">Relativisme </t>
  </si>
  <si>
    <t>De tekst reflecteert op de aard van waarneming, waarin “goed of slecht” vaak gepaard gaat met relatieve beoordelingen.</t>
  </si>
  <si>
    <t>Ademhalen als stabilisator</t>
  </si>
  <si>
    <t>Het gebruik van bewust ademhalen als een fysieke en mentale stabilisator. Emmy’s wiegende beweging illustreert hoe ademhaling kan helpen om spanning te verminderen en rust te vinden.</t>
  </si>
  <si>
    <t>Vrees des Heren</t>
  </si>
  <si>
    <t>Het Bijbelse concept van de vrees des Heren, waarin ontzag voor God leidt tot wijsheid, wordt toegepast als een metafoor voor Emmy’s ervaring van angst en haar poging om deze te transformeren.</t>
  </si>
  <si>
    <t xml:space="preserve">Prana </t>
  </si>
  <si>
    <t>Het concept van prana, levensenergie, wordt aangehaald om de blokkade en onderdrukking van Emmy’s natuurlijke energie te verklaren.</t>
  </si>
  <si>
    <t>Fear Is a Man’s Best Friend</t>
  </si>
  <si>
    <t>John Cale's lied over angst als een overlevingsmechanisme wordt impliciet aangehaald in de tekst, waarbij de verwerking van vrees uiteindelijk tot wijsheid en groei kan leiden. Toegepast in Emmy’s zoektocht naar haar eigen kracht.</t>
  </si>
  <si>
    <t>Meister Eckhart</t>
  </si>
  <si>
    <t>Regilieus</t>
  </si>
  <si>
    <t>Meister Eckhart, een 13e en 14e-eeuwse mysticus, schreef over het samensmelten van ziel en goddelijke essentie.</t>
  </si>
  <si>
    <t>Waarnemerafhankelijkheid</t>
  </si>
  <si>
    <t>Natuurwetenschappen</t>
  </si>
  <si>
    <t>Eckhart presenteerde een idee van transcendentie dat overeenkomt met de moderne concepten van quantummechanica: de verbondenheid van alle materie en energie, de waarnemer bepaald het waargenomene.</t>
  </si>
  <si>
    <t>Thomas Hobbes</t>
  </si>
  <si>
    <t>Hobbes introduceerde in zijn werk “Leviathan” het idee dat wantrouwen deel is van de menselijke natuur en dat sociale contracten nodig zijn om chaos te vermijden.</t>
  </si>
  <si>
    <t>Geboorte op heilige grond</t>
  </si>
  <si>
    <t>Het idee dat geboorte op "heilige grond" speciale betekenis heeft komt voort uit religieuze normen en geloofssystemen. In gebieden zoals middeleeuws Spanje werd dit vaak gekoppeld aan symbolen van hoop en voorspoed in tijden van chaos en oorlog.</t>
  </si>
  <si>
    <t>Samsara</t>
  </si>
  <si>
    <t>Samsara, de cyclus van dood en wedergeboorte, wordt toegepast als levenscycli waarin lessen worden geleerd en karmische verstrengeling wordt uitgewerkt, geïllustreerd in Maria’s reis en haar geboorteprocessen.</t>
  </si>
  <si>
    <t>Eenheid met god</t>
  </si>
  <si>
    <t>Een verwijzing naar de vereniging van goddelijk en wereldlijk, zoals te vinden in mystieke tradities, verduidelijkt de incarnatie van Maria als een balans van spirituele en fysieke aspecten van het leven.</t>
  </si>
  <si>
    <t>Martinus van Tours wordt aangehaald als heilige die licht en hoop bracht. De oogst, qua letterlijke en symbolische betekenis, culmineert in de voortplanting en fysiek-geestelijke verwezenlijking, die Maria’s geboorte markeert.</t>
  </si>
  <si>
    <t>De elf als spirituele gids</t>
  </si>
  <si>
    <t>De magische elf dient als archetype van wijsheid en begeleiding, een wezen dat verbonden is met de cyclische aard van natuur en helpt bij Emmy’s incarnatieproces, en staat symbool voor stabiliteit en harmonie in een soms chaotische wereld.</t>
  </si>
  <si>
    <t>Helmgeboorte</t>
  </si>
  <si>
    <t>Helmgeboorte wordt als culturele en fysieke gebeurtenis toegepast, symboliserend geluk en voorspoed voor het kind Maria.</t>
  </si>
  <si>
    <t>Migraine</t>
  </si>
  <si>
    <t>Migraines worden niet enkel opgevat als fysiek ongemak, maar als triggers voor bewustzijnsverruiming en spirituele reizen.</t>
  </si>
  <si>
    <t xml:space="preserve">Alcohol uit sociale angst </t>
  </si>
  <si>
    <t>Alcoholgebruik begon bij sociale angst en eindigde in verslaving. Dit wordt toegepast als inzicht over de menselijke neiging om pijn te verdoven, terwijl het destructieve gevolgen op lange termijn heeft.</t>
  </si>
  <si>
    <t>Maria’s wens om te sterven wordt getoond als de klassieke christelijke ‘doodzonde’ van wanhoop, waarbij het verlangen naar de dood als ultieme verwerping van hoop en vertrouwen in God fungeert.</t>
  </si>
  <si>
    <t>Mattheüs 7:1</t>
  </si>
  <si>
    <t>Oordeel niet, opdat gij zelf niet geoordeeld wordt. Citaat van Jezus (Mattheüs 7:1), ingezet om Maria’s zelfveroordeling en haar projectie van oordelen op anderen te tonen: zelfkritiek keert terug op de dader.</t>
  </si>
  <si>
    <t xml:space="preserve">Schaduwwerk </t>
  </si>
  <si>
    <t>Jung’s idee van het integreren van de ‘schaduw’ - de onderdrukte kanten van de psyche - wordt expliciet genoemd als strategie tegenover zelfafwijzing en schaamte.</t>
  </si>
  <si>
    <t>De oproep de sterfelijkheid te gedenken, een traditioneel christelijk (en stoïcijns) gebruik in meditatie/oefening, verschijnt wanneer Maria haar lijden contempleert.</t>
  </si>
  <si>
    <t xml:space="preserve">Christenstress </t>
  </si>
  <si>
    <t>Het besef altijd tekort te schieten naar christelijke maatstaven; de Calvinistische of rooms-katholieke nadruk op zondebesef en de voortdurende innerlijke spanning daarover.</t>
  </si>
  <si>
    <t>Dante’s Inferno</t>
  </si>
  <si>
    <t>De ontmoeting met schaduwen van doden en ‘noden’ in Dante’s ‘Inferno’, gebruikt als metafoor voor het omgaan met de eigen innerlijke duisternis (‘hel’).</t>
  </si>
  <si>
    <t>Psalm 91</t>
  </si>
  <si>
    <t>Letterlijke recitatie van een psalm die bescherming en vertrouwen in God’s aanwezigheid uitdrukt in tijden van angst.</t>
  </si>
  <si>
    <t>Fassbinder</t>
  </si>
  <si>
    <t>Beschrijving van sociale/psychologische angst die relaties vervormt of verhindert, inzichtelijk gemaakt via verwijzing naar Fassbinder’s “Angst vreet de ziel op”.</t>
  </si>
  <si>
    <t xml:space="preserve">Schaduwspel </t>
  </si>
  <si>
    <t>Schaduwtheater als symbool voor projectie, illusie, en het spel van werkelijkheid en schaduwzijde van het ik, met een verwijzing naar Arabische en Indiase tradities.</t>
  </si>
  <si>
    <t xml:space="preserve">Hypervigilantie </t>
  </si>
  <si>
    <t>Maria’s voortdurende staat van waakzaamheid (‘hou alles in de hand’), haar alertheid voor gevaar en haar angst om afgewezen, bekritiseerd of gekwetst te worden, weerspiegelt het fenomeen van hypervigilantie: een door (vroegere) dreiging getriggerde, chronisch verhoogde alertheid als overlevingsstrategie, waardoor ontspanning en vertrouwen moeilijk worden en het eigen gedrag rigide of afstandelijk kan worden.</t>
  </si>
  <si>
    <t xml:space="preserve">Thessalonicenzen </t>
  </si>
  <si>
    <t>Maria verwijst naar de Bijbelboeken 1 en 2 Thessalonicenzen; deze brieven van Paulus benadrukken het je eigen zaken houden, rustig leven, werken en je niet bemoeien met de zaken van anderen.</t>
  </si>
  <si>
    <t>Dorian Gray</t>
  </si>
  <si>
    <t>De verwijzing naar Dorian Gray (uit ‘the picture of dorian gray’ van oscar wilde) symboliseert dat maria’s innerlijke zonden, angst en zelfbeeld zich als projectie (‘schaduw op de muur’) manifesteren buiten zichzelf, net als het portret van dorian gray haar innerlijke staat zichtbaar maakt, weerspiegelt maria’s waarneming van haar eigen schaduw haar morele en psychische worsteling met schuld, schaamte en haar ware aard.</t>
  </si>
  <si>
    <t>Erik Erikson</t>
  </si>
  <si>
    <t>Het gedicht beschrijft hoe Maria's vroege ervaringen met kilheid en onbetrouwbaarheid van verzorgers haar basis van wantrouwen versterkten. Dit verwijst naar Eriksons theorie over de psychosociale stadia, waarbij in het eerste levensjaar de ontwikkeling van "vertrouwen versus wantrouwen" centraal staat.</t>
  </si>
  <si>
    <t xml:space="preserve">Synchroniciteit </t>
  </si>
  <si>
    <t>Het verlies van synchroniciteit bij Maria verwijst naar Jung's concept van betekenisvolle toevalligheden die iemand in contact brengen met een dieper weten of universele orde. Maria raakt dat kwijt door haar wantrouwen en angst.</t>
  </si>
  <si>
    <t>Fear of Missing Out</t>
  </si>
  <si>
    <t>Maria's voortdurende waakzaamheid en angst om iets te missen is een sociologisch fenomeen dat een grote rol speelt in moderne individualistische samenlevingen.</t>
  </si>
  <si>
    <t>Mullah Nasruddinz</t>
  </si>
  <si>
    <t>Mullah Nasruddin's kijk op het zekere verleden versus de onbekende toekomst symboliseert Kierkegaard's filosofie: "Leven kan alleen achteraf worden begrepen." Dit helpt Emmy en Maria reflecteren op de betekenis van het heden versus wantrouwen jegens de toekomst.</t>
  </si>
  <si>
    <t>Lucas 12</t>
  </si>
  <si>
    <t>Maria worstelt met vertrouwen en wantrouwen, waarbij Emmy de Bergrede aanhaalt als bron van inspiratie: "God zorgt voor alles." Dit herinnert aan het geloof in Gods voorzienigheid en het loslaten van angst om te vertrouwen op een groter plan.</t>
  </si>
  <si>
    <t>De Deense filosoof Søren Kierkegaard (19e eeuw) schreef in 1843: “Livet maa forstaaes baglaends, men leves forlaends” – oftewel “Het leven moet achterwaarts begrepen worden, maar voorwaarts geleefd”.</t>
  </si>
  <si>
    <t>Pippi Langkous</t>
  </si>
  <si>
    <t>Pipi zegt tegen haar vrienden; "Heb jij al snoepjes" om aan te geven dat te beleefd zijn jezelf te kort kan doen</t>
  </si>
  <si>
    <t>Huma</t>
  </si>
  <si>
    <t>Maria struint zwervend als een “paradijsvogel” door de natuur, wat verwijst naar het verloren paradijs (Eden) en de eenheid met de natuur die mensen nastreven.</t>
  </si>
  <si>
    <t>Maria's aanleg om mens en natuur, zoeken en beleven, met elkaar te verbinden (“eenwordingswens”), verwijst naar het holistisch denken waarin alles met alles samenhangt.</t>
  </si>
  <si>
    <t>Grotsymbool</t>
  </si>
  <si>
    <t>Verwijst naar de grot van Plato’s allegorie (kennis, schijn en werkelijkheid) en Christelijke, boeddhistische en hermetische kloosters/kluizenaren, die toevlucht namen tot de grot als plek van inkeer, crisis, transformatie.</t>
  </si>
  <si>
    <t>Journaling</t>
  </si>
  <si>
    <t>De kluizenaar verklaart het belang van “verblommen” (niet verhullen) van gedachten en het sublimeren van innerlijk kwaad door het niet in daden om te zetten, wat aanleunt bij boeddhistische en christelijke ideeën rond zonde, bekentenis en katharsis.</t>
  </si>
  <si>
    <t>Epistemologische aandacht</t>
  </si>
  <si>
    <t>Epistemologische nieuwsgierigheid is een verlangen naar kennis of de wens om iets nieuws te leren</t>
  </si>
  <si>
    <t>Socratische bewustwording</t>
  </si>
  <si>
    <t>"Ik weet dat ik niets weet", naarmate men meer leert weet men dat men meer te leren heeft.</t>
  </si>
  <si>
    <t>Het lijdend leren</t>
  </si>
  <si>
    <t>De uitspraak “leren is bevrijden van nodeloos lijden” past binnen de leerfilosofie (meestal verbonden met o.a. Dewey, Freire) en boeddhistische opvattingen (de weg van lijden naar verlichting/uitbloei).</t>
  </si>
  <si>
    <t>De notie van ‘in vrijheid leren’, ‘verantwoordelijkheid’, en ‘autonomie’ refereert aan moderne onderwijsfilosofieën (Montessori, Rousseau, Dewey), waarin de lerende veiligheid, handelen en zelfsturing nodig heeft.</t>
  </si>
  <si>
    <t>Falen</t>
  </si>
  <si>
    <t>De stem die Emmy aanraadt “beter te falen” verwijst naar moderne ideeën over het belang van mislukking in het leerproces (growth mindset, Kierkegaard/Heideggeriaans), en het loslaten van maakbaarheid en controle.</t>
  </si>
  <si>
    <t>Columbus ei</t>
  </si>
  <si>
    <t>De allegorie van ‘het ei van Columbus’, verwijst naar het simpele inzicht achter een groot raadsel (heuristiek, wetenschappelijke doorbraak).</t>
  </si>
  <si>
    <t>Mayaanse illusie</t>
  </si>
  <si>
    <t>De verwijzing naar “maya dicht” verwerkt het hindoeïstische concept van maya (illusie, het bedrieglijke van de wereld) en koppelt dit aan poëzie en inzicht (dualiteit in de taal).</t>
  </si>
  <si>
    <t>De donkere nacht van de ziel</t>
  </si>
  <si>
    <t>De uitdrukking “de donkere nacht van de ziel” komt uit de christelijke mystiek (Johannes van het Kruis): een periode van geestelijke leegte of crisis, voorafgaand aan innerlijke groei.</t>
  </si>
  <si>
    <t>Mara</t>
  </si>
  <si>
    <t>Mara, de personificatie van misleiding, verleiding en destructieve krachten in het boeddhisme, wordt opgevoerd als spelleider/tegenkracht op het pad van leren en spiritueel ontwaken.</t>
  </si>
  <si>
    <t xml:space="preserve">Bhavacakra </t>
  </si>
  <si>
    <t>Het wiel van samsara vertegenwoordigt cyclicaliteit in het menselijke bestaan, aangedreven door begeerte, haat, en onwetendheid.</t>
  </si>
  <si>
    <t>Akasha-kroniek</t>
  </si>
  <si>
    <t>De kroniek van de ziel, een concept dat voortkomt uit theosofie en oosterse spiritualiteit, wordt als een journalistiek logboek gebruikt waarin de ervaringen en daden van mensen worden opgeslagen.</t>
  </si>
  <si>
    <t>Drie-eenheid</t>
  </si>
  <si>
    <t>De concepten van Brahma, Vishnu, Shiva uit hindoeïsme, en Boeddha, Dharma, Sangha uit Boeddhisme worden in de tekst parallel gesteld aan de christelijke Vader, Zoon, en Heilige Geest.</t>
  </si>
  <si>
    <t xml:space="preserve">Djinn </t>
  </si>
  <si>
    <t>Het verhaal van de Djinn (Arabisch mythisch wezen) en zijn drie wensen wordt aangepast tot een leerervaring voor Emmy. Het laat zien hoe verkeerde intenties en verlangens tot destructie leiden</t>
  </si>
  <si>
    <t xml:space="preserve">Zodiak </t>
  </si>
  <si>
    <t>De dierenriem wordt gebruikt om te beschrijven hoe menselijke angsten en onvolkomenheden gestalte krijgen in verschillende archetypen. Elk sterrenbeeld representeert een sociaal en psychologisch facet van Emmy's reis.</t>
  </si>
  <si>
    <t xml:space="preserve">Maya </t>
  </si>
  <si>
    <t>Maya (illusie) en Mara (verleider) zijn hindoeïstische en Boeddhistische concepten die in de tekst voorkomt als krachten die Emmy's bewustzijn aanvankelijk manipuleren.</t>
  </si>
  <si>
    <t>Übermensch</t>
  </si>
  <si>
    <t>Emma wordt geschetst als een figuur die haar eigen waarden en moraal schept, los van traditionele normen zoals monogamie. Dit komt overeen met Nietzsche's concept van de Übermensch, waarbij de mens zichzelf bevrijdt van conventies en zijn eigen authentieke levenspad uitzet.</t>
  </si>
  <si>
    <t>Libido</t>
  </si>
  <si>
    <t>De verwijzing naar Freud’s theorie benadrukt dat het ego kan functioneren als een remmende kracht op de onbelemmerde energie van het libido.</t>
  </si>
  <si>
    <t>Fort van Masada</t>
  </si>
  <si>
    <t>Het "Fort van Masada" dient als een symbool voor een innerlijk bouwwerk: een mentale of emotionele bastion gecreëerd om de buitenwereld af te schermen.</t>
  </si>
  <si>
    <t xml:space="preserve">Venus </t>
  </si>
  <si>
    <t>Venus staat voor liefde, schoonheid, en sensualiteit.</t>
  </si>
  <si>
    <t xml:space="preserve">Bacchus </t>
  </si>
  <si>
    <t>Dionysus in de Griekse mythologie symboliseert de roes, het feest, de vrijheid van beperkingen en het loslaten van rationele controle.</t>
  </si>
  <si>
    <t xml:space="preserve">Priapus </t>
  </si>
  <si>
    <t>Priapus representeert vruchtbaarheid en seksuele energie, maar ook een overdaad aan seksuele impulsen.</t>
  </si>
  <si>
    <t>Frankl's existentiële vacuüm</t>
  </si>
  <si>
    <t>Het concept van het existentiële vacuüm is ontwikkeld door Viktor Frankl, een psychiater en Holocaust-overlevende, in zijn logotherapie. Het duidt op een leegte die ontstaat wanneer mensen geen zin of betekenis in hun leven vinden.</t>
  </si>
  <si>
    <t>Hedonistische Tredmolen</t>
  </si>
  <si>
    <t>Het concept verwijst naar filosofische kritiek op hedonisme, waarin kortstondige genotszoektocht wordt gezien als een repetitieve cyclus die geen duurzame vervulling biedt.</t>
  </si>
  <si>
    <t>Elektracomplex</t>
  </si>
  <si>
    <t>Het elektracomplex, ontstaan uit Jung's psychoanalyse en geïnspireerd door Freuds oedipuscomplex, beschrijft een ontwikkelingsfase bij jonge meisjes waarin ze een sterke binding met hun vader en rivaliteit met hun moeder ervaren.</t>
  </si>
  <si>
    <t>De tekst benadrukt hoe Emma en haar seksuele partners elkaar reduceren tot lustobjecten en hoe dit leidt tot verslaving, vervreemding en een verlies van echte intimiteit.</t>
  </si>
  <si>
    <t>Maurice Merleau-Ponty</t>
  </si>
  <si>
    <t>Het idee dat het lichaam een integraal onderdeel is van ons bewustzijn en hoe wij de wereld ervaren.</t>
  </si>
  <si>
    <t>Jean-Paul Sartre’s ‘de Ander’</t>
  </si>
  <si>
    <t>De interactie tussen Emma en de klasgenoot bevat echo’s van Sartre's idee dat de Ander het individu beïnvloedt via blik en verwachtingen.</t>
  </si>
  <si>
    <t>Heteronormativiteit</t>
  </si>
  <si>
    <t>Emmy reflecteert op de rol van vrouwen binnen patriarchale structuren, waarin hun seksualiteit en waardigheid vaak worden geconditioneerd door mannelijke behoeften en controle.</t>
  </si>
  <si>
    <t>Loki</t>
  </si>
  <si>
    <t>Het motief dat de vijand dichterbij is dan gedacht.</t>
  </si>
  <si>
    <t xml:space="preserve">Cijfercode </t>
  </si>
  <si>
    <t>Het gebruik van cijfers als code voor orde, beoordeling en het aanjagen van prestaties.</t>
  </si>
  <si>
    <t>Machiavelli</t>
  </si>
  <si>
    <t>Emma’s machtsgebruik door misleiding, afleiding en informatie-achterhouding refereert aan Machiavellistische principes.</t>
  </si>
  <si>
    <t>Kaïn en Abel</t>
  </si>
  <si>
    <t>De parabel van Kaïn en Abel als archetype voor zusterlijke (broederlijke) rivaliteit en afgunst; waarschuwing tegen interne familievete, ingebed in de Bijbelse moraal.</t>
  </si>
  <si>
    <t>René Girard</t>
  </si>
  <si>
    <t>De cycli van beschuldiging, schaamte en ex-communicatie binnen het gezin refereren aan culturele praktijken van zondebok- en schuldtoewijzing.</t>
  </si>
  <si>
    <t>Phoenix</t>
  </si>
  <si>
    <t>De Phoenix is een mythische vogel die uit zijn eigen as herrijst na zelfverbranding, wat staat voor wedergeboorte en transformatie.</t>
  </si>
  <si>
    <t>Dubbele Binding</t>
  </si>
  <si>
    <t>De term verwijst naar een situatie waarin een persoon tegenstrijdige boodschappen ontvangt, wat verwarring en verstarring veroorzaakt.</t>
  </si>
  <si>
    <t>Michel Foucault</t>
  </si>
  <si>
    <t>Het adreskeuze als flauwe beslissing duidt existentialistische overwegingen: hoe keuzes beperkt worden door omstandigheden en hoe symbolen zoals een adres betekenissen dragen over identiteit en sociale positie.</t>
  </si>
  <si>
    <t>Pierre Bourdieu</t>
  </si>
  <si>
    <t>Pierre Bourdieu's theorie over de 'habitus', een systeem van sociale gewoonten, normen en waarden die macht en ongelijkheid reproduceren in een maatschappij gecombineerd met symbolisch geweld.</t>
  </si>
  <si>
    <t>Tanha</t>
  </si>
  <si>
    <t>"Gevangen in genot" reflecteert het boeddhistische begrip tanha (verlangen, dorst).</t>
  </si>
  <si>
    <t>Confucius</t>
  </si>
  <si>
    <t>De tekst verwijst naar de ideeën van Confucius over deugdzaam leiderschap.</t>
  </si>
  <si>
    <t>Naakt als privébezit</t>
  </si>
  <si>
    <t>De observatie dat naaktheid als privébezit wordt gezien in een beschaving duidt op de opkomst van eigendom en individualiteit.</t>
  </si>
  <si>
    <t>Dogville</t>
  </si>
  <si>
    <t xml:space="preserve">De dynamiek van slachtofferschap, sociale uitbuiting, groepstucht, morele ambiguïteit en de manier waarop een gemeenschap één individu kan breken of vormen. </t>
  </si>
  <si>
    <t>Jacques Derrida</t>
  </si>
  <si>
    <t>De filosofie van Jacques Derrida over het spoor/traces en de limieten van taal.</t>
  </si>
  <si>
    <t>Onzegbare</t>
  </si>
  <si>
    <t>Er wordt verwerkt dat niet alles kan worden gezegd/beschreven; dit raakt aan inzichten uit psychoanalyse (Freud, Lacan) en poststructuralisme.</t>
  </si>
  <si>
    <t>Caritas vs. Cupiditas</t>
  </si>
  <si>
    <t>Het verschil tussen caritas (onbaatzuchtige liefde) en cupiditas (verlangen, hebzucht) is afkomstig uit de christelijk-middeleeuwse filosofie, onder meer bij Augustinus.</t>
  </si>
  <si>
    <t>Machiavellisme</t>
  </si>
  <si>
    <t>Als het “mechanisme om macht te houden” verwijst naar de politieke filosofie van Machiavelli over manipulatie, macht en eigenbelang.</t>
  </si>
  <si>
    <t xml:space="preserve">Jesaja </t>
  </si>
  <si>
    <t>De profetieën uit het boek Jesaja (Oude Testament), waarin voorspellingen over het lijden, verlossing en de komst van een Messias worden gedaan.</t>
  </si>
  <si>
    <t>Familiegeheim</t>
  </si>
  <si>
    <t>De gedwongen stilte rond de incest en de valse familielijn verziekt de levens van de betrokkenen.</t>
  </si>
  <si>
    <t>Hegel</t>
  </si>
  <si>
    <t>Dit plaatst het praktische, niet-speculatieve denken tegenover het hoge abstractieniveau van Hegels dialectiek en Weltgeist, en sluit aan bij een mystieke, apofatische theologie</t>
  </si>
  <si>
    <t xml:space="preserve">Orpheus </t>
  </si>
  <si>
    <t>Orpheus verliest Eurydice opnieuw door zijn eigen moment van zwakte (omkijken). Dit symboliseert het falen door angst en besluiteloosheid, en benadrukt de tragiek van het niet durven volharden, zelfs wanneer de liefde op het spel staat.</t>
  </si>
  <si>
    <t xml:space="preserve">Aparigraha </t>
  </si>
  <si>
    <t>Aparigraha, het gebod tot niet-bezitten, wordt benoemd als poging tot loslaten – maar oom ervaart deze leer als niet toepasbaar in zijn geloof op zijn seksuele verlangens.</t>
  </si>
  <si>
    <t>Scheppingsmandaat</t>
  </si>
  <si>
    <t>Het bijbelmotief van 'wees vruchtbaar en vermenigvuldig u' (scheppingsmandaat, Genesis) wordt tegenover de onthouding gezet als Gods opdracht tot scheppen, terwijl seksuele ontzegging als obstructie aanvoelt.</t>
  </si>
  <si>
    <t>Actieve participatie</t>
  </si>
  <si>
    <t>De kapelaan breekt met de traditionele, eenzijdige preek door een interactieve vraag te stellen, waardoor het publiek direct wordt betrokken.</t>
  </si>
  <si>
    <t>De neef wordt gewaarschuwd voor de gevaren van "publieke vrouwen" en geïnstrueerd om zijn eer intact te houden en kordaat te weigeren.</t>
  </si>
  <si>
    <t>Projectie van onvervulde ambities:</t>
  </si>
  <si>
    <t>De zoon voelt zich verplicht om de onvervulde ambities van zijn vader waar te maken en overtreft deze zelfs, wat illustreert hoe ouderlijke verwachtingen en onverwerkte teleurstellingen kunnen worden geprojecteerd op de volgende generatie en een drijfveer kunnen zijn voor diens eigen prestaties en statusverwerving.</t>
  </si>
  <si>
    <t xml:space="preserve">Profetenverering </t>
  </si>
  <si>
    <t>De dwepende volgelingen en de positie van de profeet tonen de dynamiek van leiderschap, verering, en overgave gevold door seksuele spanning (vergelijk mystieke tradities, bijvoorbeeld sufisme of sekteleiderschap).</t>
  </si>
  <si>
    <t xml:space="preserve">Bergrede </t>
  </si>
  <si>
    <t>Het spreken vanaf een hoogte met een publiek verwijst naar Jezus’ Bergrede (Mattheüs 5), een klassiek beeld uit het christendom én andere profetische tradities waar leraar en toehoorders zich op symbolische plekken bevinden.</t>
  </si>
  <si>
    <t>Mount Meru</t>
  </si>
  <si>
    <t>Het beklimmen van Mount Meru als kosmisch centrum uit de hindoeïstische, boeddhistische en djaïnistische kosmologie – symbool voor de spirituele as van het universum en de tocht naar verlichting of moksha.</t>
  </si>
  <si>
    <t xml:space="preserve">Nymfenmotief </t>
  </si>
  <si>
    <t>Het idee van bovennatuurlijke vrouwen (apsara’s, nimfen) die heiligen verleiden als test van verlichting kent parallellen in oosterse mythen, zoals verleiding van Boeddha door Māra’s dochters.</t>
  </si>
  <si>
    <t xml:space="preserve">Draupadi </t>
  </si>
  <si>
    <t>Arjuna wint Draupadi, deelt haar met zijn broers door een onbedoeld gebod van moeder Kunti, aangezien dharma (plicht) niet gebroken mag worden – een relativering van morele absolutismen door mythisch precedent.</t>
  </si>
  <si>
    <t xml:space="preserve">Spontane generatie </t>
  </si>
  <si>
    <t>Het verwerpen van het idee dat leven spontaan ontstaat uit niet-levende materie (abiogenese in antieke zin; Aristoteles, middeleeuwse opvattingen), met verwijzing naar het belang van voortplanting en ontwikkeling – moderne natuurwetenschappelijke zienswijze.</t>
  </si>
  <si>
    <t>Onbevlekte ontvangenis</t>
  </si>
  <si>
    <t>Het verhaal van Maria die zonder seksuele bevruchting zwanger is van Jezus wordt gehekeld, met de suggestie dat dit “zotte gekte” is tegen de natuurlijke wetten, hetgeen pleit voor naturalistisch religiebegrip.</t>
  </si>
  <si>
    <t>Diversiteit in schepping</t>
  </si>
  <si>
    <t>Het Bijbelse scheppingsverhaal waarin God diversiteit waardeert (“zag dat het goed was”), en de link met evolutie of biologische variatie (mens-aap, zebra-paard).</t>
  </si>
  <si>
    <t xml:space="preserve">Tranen </t>
  </si>
  <si>
    <t>Een materialistische, medische verklaring voor huilen: traanvocht als afvoer van afvalstoffen, en een evolutionaire biologische functie ter bescherming van de ogen.</t>
  </si>
  <si>
    <t>Spreuken 26</t>
  </si>
  <si>
    <t>Het Bijbelse spreekwoord “Wie een kuil graaft voor een ander, valt er zelf in” wordt gebruikt om de karmische vergelding/ morele rechtvaardigheid voor te stellen: wie anderen kwaad berokkent, wordt zelf gestraft door zijn eigen daden.</t>
  </si>
  <si>
    <t>Albert Bandura</t>
  </si>
  <si>
    <t>Het principe van sociaal leren: gedrag wordt verworven door observatie, imitatie en internalisatie van anderen.</t>
  </si>
  <si>
    <t>Jean-Jacques Rousseau</t>
  </si>
  <si>
    <t>Rousseau’s idee dat de mens van nature goed is, maar gecorrumpeerd wordt door de maatschappij, duidt op de spanning tussen zuiverheid en corruptie door sociale structuren.</t>
  </si>
  <si>
    <t>Jacques Lacan</t>
  </si>
  <si>
    <t>Het Lacaniaanse denken over het subject dat tegelijk object van verlangen wordt, en de Žižekiaanse duiding van lust en verlangen: seksualiteit als motor van de zelfontdekking en identiteitsvorming, en ook als fetisjistische spiegeling.</t>
  </si>
  <si>
    <t>Navajo Coyote</t>
  </si>
  <si>
    <t>De Coyote uit de Navajo-mythologie: een trickster, grappenmaker en wetsovertreder, symbool voor het doorbreken van taboes en regels, evenals voor creativiteit en persoonlijke vrijheid.</t>
  </si>
  <si>
    <t>Lola van The Kinks</t>
  </si>
  <si>
    <t>Het concept van Lola fungeert in het gedicht als symbool voor het experimenteren met rollen, het trotseren van taboes en het vinden van waarheid in ambiguïteit.</t>
  </si>
  <si>
    <t>Taboes</t>
  </si>
  <si>
    <t>Taboes, fetisjen en trauma’s als verklaringsmodellen voor afwijkend of verborgen seksueel gedrag.</t>
  </si>
  <si>
    <t>Mauvaise foi</t>
  </si>
  <si>
    <t>De jongeman verschuilt zich achter een valse smoes en handelt te kwader trouw, wat existentialistische thematiek van oneerlijk (tegenover zichzelf en anderen) leven aankaart.</t>
  </si>
  <si>
    <t xml:space="preserve">Balder </t>
  </si>
  <si>
    <t>Noorse mythologie: de god van het licht (Balder) die sterft door Loki’s list. Symboliseert kwetsbaarheid van het goede, onvermijdelijkheid van ondergang, en de kracht van sluwheid.</t>
  </si>
  <si>
    <t>Schaakspel</t>
  </si>
  <si>
    <t>Het schaken wordt benoemd als oefening in zelfontwikkeling, acceptatie van imperfectie, leren omgaan met verlies en frustratie. Zelfreflectie via spel.</t>
  </si>
  <si>
    <t>Immanuel Kant</t>
  </si>
  <si>
    <t>Kant wordt aangehaald als bron voor het tweeslachtige in de mens: ratio en drift, continuüm tussen verstand en gevoel.</t>
  </si>
  <si>
    <t>Psalm 19:10</t>
  </si>
  <si>
    <t>In plaats van tijdelijke emoties, is er iets dat eeuwig blijft, namelijk “de vreze des Heeren” (godvrezendheid of diep respect voor God)</t>
  </si>
  <si>
    <t>Spreuken 3</t>
  </si>
  <si>
    <t>De profeet verdedigt een probabilistische visie op natuur en kosmos, versus de traditionele religieuze opvatting van orde/wijsheid, impliciet de overstap naar modern-wetenschappelijk wereldbeeld.</t>
  </si>
  <si>
    <t>Korintiërs 4</t>
  </si>
  <si>
    <t>De discussie of onzichtbare dingen (ideeën, concepten, het goddelijke) eeuwig zijn, wat verwijst naar Platoonse ideeënleer, maar ook naar de christelijke metafysica.</t>
  </si>
  <si>
    <t>Heb uw vijanden lief</t>
  </si>
  <si>
    <t>Jezus’ gebod om de vijand lief te hebben wordt gecombineerd met seculiere levenswijsheid (sociaal-darwinistische competitiviteit).</t>
  </si>
  <si>
    <t>2 korintiërs 3:6</t>
  </si>
  <si>
    <t xml:space="preserve">Iemand die zich slechts richt op de letter van de wet, niet op de geest erachter. </t>
  </si>
  <si>
    <t>Het Derde Oog</t>
  </si>
  <si>
    <t>Het derde oog als symbool voor innerlijk inzicht en spiritueel ontwaken, met verwijzing naar innerlijke verlangens en bewustzijn.</t>
  </si>
  <si>
    <t xml:space="preserve">Eros </t>
  </si>
  <si>
    <t>Liefde en begeerte worden aangeduid als een pijl van Eros; het symboliseert hoe mensen gevangen kunnen raken in hun verlangens.</t>
  </si>
  <si>
    <t>Arnold van Gennep</t>
  </si>
  <si>
    <t>Overgangsrituelen als noodzakelijke pelgrimages naar volwassenheid, verbonden aan persoonlijke en collectieve groei.</t>
  </si>
  <si>
    <t>Drukpa Kunley</t>
  </si>
  <si>
    <t>Tibetaanse lama uit boeddhistische traditie die seksuele energie niet veroordeelt, maar als energie voor het leven beschouwt; satire op boetedoening en dogma.</t>
  </si>
  <si>
    <t xml:space="preserve">Luxuria </t>
  </si>
  <si>
    <t>De slang verlokt via luxuria (een hoofdzonde), zoals Eva; projectie van seksuele verleiding en zonde.</t>
  </si>
  <si>
    <t>Malleus Maleficarum</t>
  </si>
  <si>
    <t>Verwijzing naar het handboek van Heinrich Kramer voor heksenvervolging als symptoom van bijgeloof en schadelijke uitwassen van de religieuze rechtspraak.</t>
  </si>
  <si>
    <t>De pollutie (natte droom, zaadlozing) als uiting van verdrongen seksualiteit en interne strijd tussen begeerte en moraal.</t>
  </si>
  <si>
    <t>Misogynie</t>
  </si>
  <si>
    <t>Uiteenzetting van de structurele uitsluiting van vrouwen in religieuze instituties; analyse van patriarchale machtsstructuren.</t>
  </si>
  <si>
    <t>Ni uit Om Mani Padme Hum</t>
  </si>
  <si>
    <t>Ni is de ontkenning van het egocentrische “ik” en werkt in deze context als verwijzing naar de acceptatie van driften zonder over-identificatie of schuld, vanuit de boeddhistische leer van leegte en compassie.</t>
  </si>
  <si>
    <t>Kama</t>
  </si>
  <si>
    <t>Kama staat voor verlangen, liefde en seksuele begeerte als kosmisch principe in de hindoeïstische traditie.</t>
  </si>
  <si>
    <t>Plotinus' Enneaden</t>
  </si>
  <si>
    <t>Plotinus en zijn Enneaden verwijzen naar het concept van eenwording van de ziel en het tijdelijke opstijgen van het bewustzijn boven de materiële wereld, wat wordt gespiegeld in Emmy’s regressie en transcendentie-ervaring.</t>
  </si>
  <si>
    <t>Wet van Aantrekking</t>
  </si>
  <si>
    <t>Vermeld als ‘de wet van aantrekking’, wat in de esoterische leerstaat betekent dat gelijke energieën elkaar aantrekken; toegepast op het aanspreken van herinneringen en gevoelens uit vorige levens.</t>
  </si>
  <si>
    <t>Onbeschreven blad</t>
  </si>
  <si>
    <t>Maria wordt omschreven als ‘onbeschreven blad,’ wat verwijst naar het idee van zuiverheid en onschuld uit christelijke Mariologie: een nieuwe ziel zonder zonde.</t>
  </si>
  <si>
    <t>Lourdes-grot, Bernadette</t>
  </si>
  <si>
    <t>De verwijzing ‘Maria’s grot (buiten Bernadette)’ verwijst naar het katholieke bedevaartsoord en het verschijnsel van de Heilige Maagd bij Bernadette Soubirous in Lourdes, gebruikt als metafoor voor verborgen innerlijkheid.</t>
  </si>
  <si>
    <t>Matteüs 23:27-28</t>
  </si>
  <si>
    <t>Jezus levert kritiek op hypocrisie, vooral van geestelijken en religieuze leiders (de farizeeën en schriftgeleerden).</t>
  </si>
  <si>
    <t>Transgressie</t>
  </si>
  <si>
    <t>Emmy’s besluit om ‘te kiezen voor transgressie’ wijst op het filosofisch begrip van grensoverschrijding, als mechanisme voor persoonlijke en spirituele ontwikkeling.</t>
  </si>
  <si>
    <t>Carl Rogers</t>
  </si>
  <si>
    <t>De verwijzing naar Carl Rogers’ inzichten (‘je authenticiteit raak je kwijt als je leeft naar de verwachtingen van anderen’) benadrukt het belang van het ware zelf versus aangepast gedrag, toegepast op de vervreemding van het individu in groepen en rollen.</t>
  </si>
  <si>
    <t xml:space="preserve">Tupperware </t>
  </si>
  <si>
    <t>Het gebruik van Tupperware als symbool voor sociale conformiteit en aanpassing binnen gemeenschappen (zelfs de ‘hippie oorden’) als kritiek op massaconsumptie en schijnharmonie.</t>
  </si>
  <si>
    <t xml:space="preserve">Barbiepop </t>
  </si>
  <si>
    <t>Maria’s identificatie met ‘Barbie’ symboliseert het kunstmatige, op uiterlijk gerichte, maatschappijbeeld; toegepaste kritiek op het gemis aan werkelijke diepgang en individualiteit.</t>
  </si>
  <si>
    <t>Lustloze (canonieke) evangeliën</t>
  </si>
  <si>
    <t>De (canonieke) evangeliën nergens expliciet over lust spreken, en seksualiteit vrijwel totaal afwezig of negatief beoordeeld is in de evangeliën, waardoor een gevoel van vervreemding en afstomping die in het gedicht wordt beschreven kan ontstaan.</t>
  </si>
  <si>
    <t>De wet van het geslacht</t>
  </si>
  <si>
    <t>Alles in de wereld zowel mannelijke als vrouwelijke energie bezit</t>
  </si>
  <si>
    <t>Maria Magdalena</t>
  </si>
  <si>
    <t>De herinterpretatie van Maria Magdalena, van een 'hoer' (zoals vastgelegd door paus Gregorius) naar een apostel van de apostelen</t>
  </si>
  <si>
    <t>Het Boek van Henoch</t>
  </si>
  <si>
    <t>De tekst van Henoch, over engelen die lustgevoelens krijgen en seks hebben met mensen wat resulteert in het reuzenras van de Nephilim</t>
  </si>
  <si>
    <t>Bijbel als machtsmiddel</t>
  </si>
  <si>
    <t>De overleveringen in de Bijbel zijn vaak "een streven van een alleenheerser" om mensen te overtuigen, waarbij geweld ('af te tuigen') werd gebruikt als religie faalde.</t>
  </si>
  <si>
    <t>Melusine</t>
  </si>
  <si>
    <t>De vergelijking van de liefdesmachine met Melusine (half vrouw, half slang of vis, vaak een verleidelijk, ongrijpbaar wezen) symboliseert het ongrijpbare, bedrieglijke van liefde, seksuele aantrekkingskracht en de daarmee gepaard gaande transformatie/illusie.</t>
  </si>
  <si>
    <t>canto</t>
  </si>
  <si>
    <t>woord</t>
  </si>
  <si>
    <t>betekenis</t>
  </si>
  <si>
    <t>Mensenstropers</t>
  </si>
  <si>
    <t>Individuen of groepen die mensen ontvoeren, vangen of opsporen om hen te onderwerpen aan exploitatie, gevangenschap, verkoop of doding</t>
  </si>
  <si>
    <t>Tevenaar</t>
  </si>
  <si>
    <t>Iemand die speciaal voor verkeerde vrouwen een zwak heeft</t>
  </si>
  <si>
    <t>Verdwijntovenaar</t>
  </si>
  <si>
    <t>Een magisch figuur, die plots kan verdwijnen of anderen kan laten verdwijnen.</t>
  </si>
  <si>
    <t>Niks Um’t Lief</t>
  </si>
  <si>
    <t>Dialectachtig/creatief uitgedrukt voor 'geen kleding aan', letterlijk 'niks om het lijf'</t>
  </si>
  <si>
    <t>Leren door filosoferen</t>
  </si>
  <si>
    <t>Misterieus</t>
  </si>
  <si>
    <t>Mist die een mysterieuze sfeer veroorzaakt</t>
  </si>
  <si>
    <t>hersenkogels</t>
  </si>
  <si>
    <t>Gedachten die als projectielen door het hoofd schieten</t>
  </si>
  <si>
    <t>klankmat</t>
  </si>
  <si>
    <t>De tong als het fysieke oppervlak waar klanken worden gevormd en geproduceerd</t>
  </si>
  <si>
    <t>nul</t>
  </si>
  <si>
    <t>Niks Um’t Lief oftewel naakt</t>
  </si>
  <si>
    <t>windbaden</t>
  </si>
  <si>
    <t>Naakt in de wind staan</t>
  </si>
  <si>
    <t xml:space="preserve">Slaventheater </t>
  </si>
  <si>
    <t>Soort situatie beschrijft waarin onderdanigheid wordt opgevoerd</t>
  </si>
  <si>
    <t>Veenvloek</t>
  </si>
  <si>
    <t>De erfelijke mentale en sociale onderworpenheid van bewoners in geïsoleerde veengebieden, voortkomend uit armoede, afhankelijkheid en machteloosheid.</t>
  </si>
  <si>
    <t>Eigenwijsneus</t>
  </si>
  <si>
    <t>Een koosnaam of beschrijving die een koppig en eigenwijs persoon aanduidt die graag zijn neus in andermans zaken steekt.</t>
  </si>
  <si>
    <t>Een samentrekking van "filosoferen" en "leren", wat duidt op het individueel en creatief leren uit het bestuderen van filosofische kwesties.</t>
  </si>
  <si>
    <t>Overdaadbegrenzer</t>
  </si>
  <si>
    <t>Een concept, persoon, of mechanisme dat overdaad voorkomt of beperkt.</t>
  </si>
  <si>
    <t>Innerlicht</t>
  </si>
  <si>
    <t>Een innerlijk gevoel van verlichting, helderheid of spiritueel bewustzijn dat van binnenuit komt.</t>
  </si>
  <si>
    <t>Waterkind</t>
  </si>
  <si>
    <t>Een kind dat letterlijk of figuurlijk verbonden is met water</t>
  </si>
  <si>
    <t>Pretsoorten</t>
  </si>
  <si>
    <t>Verschillende soorten plezier</t>
  </si>
  <si>
    <t>Een geboorte die plaatsvindt door het dopen van een kind</t>
  </si>
  <si>
    <t>IJsven</t>
  </si>
  <si>
    <t>Een bevroen of ijskoud ven (klein meer)</t>
  </si>
  <si>
    <t>Koudetolerant</t>
  </si>
  <si>
    <t>Het vermogen van iemand (of iets) om koude omstandigheden te verdragen</t>
  </si>
  <si>
    <t xml:space="preserve">Baadboter </t>
  </si>
  <si>
    <t>Een huid die, na het baden, zacht, glad en boterachtig aanvoelt.</t>
  </si>
  <si>
    <t>Speelvrouw</t>
  </si>
  <si>
    <t>Een vrouwelijke artiest of entertainer, zoals een muzikant, zangeres, of iemand die verhalen vertelt, optreedt of vermaakt, vaak reizend van plaats naar plaats.</t>
  </si>
  <si>
    <t>Uitvluchtstreven</t>
  </si>
  <si>
    <t>Een doelgerichte poging om te ontsnappen om te vermijden.</t>
  </si>
  <si>
    <t xml:space="preserve">Innervaren </t>
  </si>
  <si>
    <t>Interne ervaring of innerlijke gewaarwording.</t>
  </si>
  <si>
    <t>Een beschermende en verantwoordelijke rol binnen het huishouden, zonder expliciet biologisch vaderschap te bevestigen</t>
  </si>
  <si>
    <t>Geldmonoloog</t>
  </si>
  <si>
    <t>Een langdurige, obsessieve monoloog over geld, waarin de spreker zijn angsten, zorgen en overtuigingen over financiële zaken ventileert, zonder ruimte voor tegenspraak of dialoog.</t>
  </si>
  <si>
    <t>Trekhandgebaar</t>
  </si>
  <si>
    <t>Een suggestieve handbeweging, vaak uitgevoerd met een trekbeweging van de hand, die een seksuele connotatie heeft en meestal verwijst naar het nabootsen van het aftrekken van een penis.</t>
  </si>
  <si>
    <t>Conceptiewonder</t>
  </si>
  <si>
    <t>Een onverwachte of als miraculeus beschouwde zwangerschap, vaak tegen alle verwachtingen in.</t>
  </si>
  <si>
    <t xml:space="preserve">Spervuurstorm </t>
  </si>
  <si>
    <t>Een extreem gewelddadige en onophoudelijke aanval, waarbij de intensiteit van spervuur wordt gecombineerd met de vernietigende kracht van een storm.</t>
  </si>
  <si>
    <t>Kloosterbezoekers</t>
  </si>
  <si>
    <t>Personen die een klooster bezoeken – Dit kunnen pelgrims, toeristen, onderzoekers of toevallige passanten zijn die een klooster om spirituele, culturele of educatieve redenen bezoeken.</t>
  </si>
  <si>
    <t>Rusttijdspanne</t>
  </si>
  <si>
    <t>Een afgebakende periode waarin iemand of iets tot rust komt, herstelt of zich niet actief bezighoudt met taken of verplichtingen</t>
  </si>
  <si>
    <t>Geestigvermogen</t>
  </si>
  <si>
    <t>Een combinatie van geestig (slim, gevat, humoristisch) en vermogen (capaciteit, bekwaamheid), verwijzend naar het intellectuele of creatieve talent om humor en scherpe inzichten te combineren.</t>
  </si>
  <si>
    <t>Kontinhetplaatsie</t>
  </si>
  <si>
    <t>Het plechtig en bewust neerzetten van de kont</t>
  </si>
  <si>
    <t>Niet-zondag</t>
  </si>
  <si>
    <t>Een dag die niet zondag is, mogelijk met de implicatie dat het als een zondag aanvoelt of zou moeten zijn.</t>
  </si>
  <si>
    <t>Grijnslach</t>
  </si>
  <si>
    <t>Een samentrekking van "grijns" en "lach", wat een sinistere of spottende manier van lachen impliceert.</t>
  </si>
  <si>
    <t>Blikogen</t>
  </si>
  <si>
    <t>Een creatief woord voor ogen die opvallend staren of iemand intens aankijken.</t>
  </si>
  <si>
    <t>Christendeugd</t>
  </si>
  <si>
    <t>Een niet-bestaand samengesteld woord dat waarschijnlijk christelijke deugd of vroomheid aanduidt.</t>
  </si>
  <si>
    <t>Vrij-haven</t>
  </si>
  <si>
    <t>Het bestaande woord "vrijhaven" wordt door de koppelstreepjes explicieter als een ironische term neergezet, waarbij de ironie ligt in de interpretatie als een utopische plaats zonder kwaad.</t>
  </si>
  <si>
    <t>Ondierlijke</t>
  </si>
  <si>
    <t>Alsof je elke vorm van instinct, aardse drang of onschuldige puurheid weglaat</t>
  </si>
  <si>
    <t>Weglopersgroep</t>
  </si>
  <si>
    <t>Een collectief van individuen die zich onttrekken aan een regime, sekte, of onderdrukkend systeem, vaak gedreven door een gedeelde noodzaak om te ontsnappen en opnieuw te beginnen.</t>
  </si>
  <si>
    <t>Dialectdwaling</t>
  </si>
  <si>
    <t>Het opzettelijk aanpassen van dialectwoorden om een bepaalde indruk te wekken.</t>
  </si>
  <si>
    <t>Groepsvluchtsnelheid</t>
  </si>
  <si>
    <t>De gezamenlijke ontsnappingssnelheid die een hele groep moet bereiken om zich als collectief los te maken van een onderdrukkende of onhoudbare situatie.</t>
  </si>
  <si>
    <t>Scharrelslager</t>
  </si>
  <si>
    <t>Een man die achter vrouwen aangaat ("jaagt") om ze te veroveren zonder serieuze bedoelingen om zich te binden.</t>
  </si>
  <si>
    <t>Adelcultuur</t>
  </si>
  <si>
    <t>Het complete systeem van sociale conventies, tradities, etiquette, verwachtingen en ongeschreven regels die het leven van de adel of aristocratie beheersen.</t>
  </si>
  <si>
    <t>Geloofsgekte</t>
  </si>
  <si>
    <t xml:space="preserve">Een extreme, irrationele of fanatieke toewijding aan religieuze of ideologische overtuigingen, waarbij kritisch denkvermogen wordt vervangen door blinde acceptatie van dogma's. </t>
  </si>
  <si>
    <t>Vaderschapsvreugde</t>
  </si>
  <si>
    <t xml:space="preserve">Verwijst naar de diepe, oprechte vreugde die een man ervaart bij het (aanstaande) vaderschap. </t>
  </si>
  <si>
    <t>Giftgeld</t>
  </si>
  <si>
    <t>Geld dat als schenking wordt gegeven – bijvoorbeeld een donatie, subsidie of een financiële gift zonder directe tegenprestatie.</t>
  </si>
  <si>
    <t xml:space="preserve">Gluurkist </t>
  </si>
  <si>
    <t>Synoniem voor kijkdoos</t>
  </si>
  <si>
    <t>Knechter</t>
  </si>
  <si>
    <t>Iemand die onderwerpt of onderdrukt – vergelijkbaar met een tiran of dwingeland.</t>
  </si>
  <si>
    <t>Kijkkast</t>
  </si>
  <si>
    <t>Blinddaterape</t>
  </si>
  <si>
    <t>Een situatie waarin iemand tijdens een blind date wordt verkracht</t>
  </si>
  <si>
    <t>Bustewonder</t>
  </si>
  <si>
    <t>Een geïmproviseerde top die de borsten van Emmy bedekt en ondersteunt.</t>
  </si>
  <si>
    <t>Scheldrest</t>
  </si>
  <si>
    <t>Een reeks resterende scheldwoorden of beledigingen.</t>
  </si>
  <si>
    <t>Vrijigheid</t>
  </si>
  <si>
    <t>Veiligheid of vrijheid die ontstaat uit vrijen</t>
  </si>
  <si>
    <t>Vluchtbeleid</t>
  </si>
  <si>
    <t xml:space="preserve">Gifstortje </t>
  </si>
  <si>
    <t>Een kleine, herhaalde giftige uitlating of actie aanduidt</t>
  </si>
  <si>
    <t>Gespotloodventer</t>
  </si>
  <si>
    <t>Een potloodventer die betrapt is.</t>
  </si>
  <si>
    <t>Neuskots</t>
  </si>
  <si>
    <t>Een onhoudbare, gewelddadige, walgingachtige uitbarsting van neusslijm.</t>
  </si>
  <si>
    <t>Hartverlammend</t>
  </si>
  <si>
    <t>Een ervaring of gevoel die zo diep emotioneel ingrijpend is, dat het het hart (in emotionele of existentiële zin) letterlijk verlamt — je wordt erdoor overmand, bevriest van binnen, en bent niet meer in staat om liefde, hoop of verbinding te voelen of uit te drukken.</t>
  </si>
  <si>
    <t>Liefdetekort</t>
  </si>
  <si>
    <t>Een structureel, misschien zelfs aangeleerd tekort aan verbinding, geborgenheid of zelfliefde.</t>
  </si>
  <si>
    <t>Een plotselinge mentale of emotionele impact die de koers van iemands wilskracht verandert, vaak gepaard gaand met een intens moment van twijfel of beslissingskracht.</t>
  </si>
  <si>
    <t>Geestverstijfd</t>
  </si>
  <si>
    <t>Een toestand waarin de geest tijdelijk verlamd of overweldigd is, meestal door extreem emotioneel, intellectueel of spiritueel conflict.</t>
  </si>
  <si>
    <t>Topstemming</t>
  </si>
  <si>
    <t>Een staat van uitzinnig enthousiasme of euforie waarin men zich extreem energiek, zelfverzekerd en vervuld voelt.</t>
  </si>
  <si>
    <t xml:space="preserve">Ontkenningsplan </t>
  </si>
  <si>
    <t>Een strategie of methode waarbij individuen of groepen bewust sterke waarheden of realiteiten negeren of ontkennen om emotionele of psychologische pijn te vermijden.</t>
  </si>
  <si>
    <t>Testofficier</t>
  </si>
  <si>
    <t>Een militair die toeziet op en verantwoordelijk is voor de beoordeling of uitvoering van een test.</t>
  </si>
  <si>
    <t>Geestespijn</t>
  </si>
  <si>
    <t>Een diepe interne pijn of lijden van mentale, emotionele of spirituele aard.</t>
  </si>
  <si>
    <t>Aandrinkt</t>
  </si>
  <si>
    <t>Het drinken van alcohol om een bepaalde mate van dronkenschap te bereiken, wellicht met een intentie om sociale spanning te verlichten of om zichzelf tijdelijk te verdoven.</t>
  </si>
  <si>
    <t>Breinirritatie</t>
  </si>
  <si>
    <t>Een intens psychologisch ongemak of fysieke pijn in het brein veroorzaakt door externe prikkels</t>
  </si>
  <si>
    <t>Een specifieke vorm van spanning die voortkomt uit religieuze overtuigingen, bijvoorbeeld angst voor zonde, oordeel of tekortkomingen in de praktijk van het geloof.</t>
  </si>
  <si>
    <t xml:space="preserve">Zelfaanvalsverdrag </t>
  </si>
  <si>
    <t>Het idee van een innerlijke overeenkomst of strategie waarbij iemand zichzelf voortdurend bekritiseert of mentaal straft.</t>
  </si>
  <si>
    <t xml:space="preserve">Schaduwvrees </t>
  </si>
  <si>
    <t>Angst voor de duistere, onbekende aspecten van het eigen innerlijke leven of psychologische schaduw.</t>
  </si>
  <si>
    <t xml:space="preserve">Schijnonkwetsbaarheid </t>
  </si>
  <si>
    <t>Een ogenschijnlijke onkwetsbaarheid die in werkelijkheid fragiel is.</t>
  </si>
  <si>
    <t xml:space="preserve">Vaarwelzijn </t>
  </si>
  <si>
    <t>Toestand van afscheid nemen waarbij het welzijn (gevoel van gelukkig of veilig zijn) tijdelijk verloren of onzeker wordt</t>
  </si>
  <si>
    <t xml:space="preserve">Rijmfictie </t>
  </si>
  <si>
    <t>Verhaal of werkelijkheid die in een rijmende vorm wordt weergegeven en daardoor deels fictief, vervormd of creatief geconstrueerd is.</t>
  </si>
  <si>
    <t>Een intensieve, uitdagende periode van leren en innerlijke groei die voelt als een zware beproeving, maar uiteindelijk helend kan zijn.</t>
  </si>
  <si>
    <t>Bloeistrijd</t>
  </si>
  <si>
    <t>De strijd om in een moeilijke periode persoonlijke groei en bloei te vinden, vaak door bewust te worden van innerlijke pijn.</t>
  </si>
  <si>
    <t>Afleerproces</t>
  </si>
  <si>
    <t>Een proces waarin men geconditioneerde zaken loslaat.</t>
  </si>
  <si>
    <t>Eenwordingswens</t>
  </si>
  <si>
    <t>De diepe, innerlijke wens om een staat van verbinding, balans en compleetheid te bereiken—binnen jezelf, tussen het individu en het collectief, of met een hoger spiritueel geheel.</t>
  </si>
  <si>
    <t>Zielsherstel</t>
  </si>
  <si>
    <t>Het proces van heling en vernieuwing op het diepst spirituele niveau, waarbij de ziel weer in balans wordt gebracht na fragmentatie, pijn of disharmonie.</t>
  </si>
  <si>
    <t>Breinverandering</t>
  </si>
  <si>
    <t>Een proces van diepgaande transformatie in denken, waarnemen en reageren, waarbij oude patronen en overtuigingen worden herschreven om ruimte te maken voor nieuwe, meer adaptieve en bevrijdende inzichten.</t>
  </si>
  <si>
    <t>Zielsherinnering</t>
  </si>
  <si>
    <t>Een proces waarbij de ziel bepaalde ervaringen uit eerdere levens opnieuw beleeft, om inzicht en wijsheid te verkrijgen.</t>
  </si>
  <si>
    <t xml:space="preserve">Geestesvermoeidheid </t>
  </si>
  <si>
    <t>Een diepe mentale of spirituele uitputting, veroorzaakt door aanhoudende innerlijke conflicten, overmatige introspectie, of de last van onverwerkte emoties en gedachten.</t>
  </si>
  <si>
    <t>Eénwordingsstrijd</t>
  </si>
  <si>
    <t>Een innerlijk conflict of proces waarin verschillende aspecten van het zelf (bijvoorbeeld lichaam, geest en ziel) trachten samen te komen tot een harmonieuze eenheid.</t>
  </si>
  <si>
    <t>Wensbeslisser</t>
  </si>
  <si>
    <t>Iemand of iets dat verantwoordelijk is voor het omzetten van verlangens in definitieve wensen.</t>
  </si>
  <si>
    <t>Oudelieden</t>
  </si>
  <si>
    <t>Een samensmelting van "oude mensen" of "geleerde lieden". In deze context lijkt het een archaïsch of poëtisch alternatief voor "ouders".</t>
  </si>
  <si>
    <t>Klaagkampioen</t>
  </si>
  <si>
    <t>Iemand die voortdurend klaagt, als een wedstrijd of competitie, en zichzelf daarin overtreft.</t>
  </si>
  <si>
    <t>Aanzienuitslover</t>
  </si>
  <si>
    <t>Iemand die overmatig zijn/haar best doet om indruk te maken met uiterlijk of status (uitsloven om aanzien te krijgen).</t>
  </si>
  <si>
    <t>Emotieslinger</t>
  </si>
  <si>
    <t>Een snel wisselende gemoedstoestand; het slingerend bewegen tussen emoties.</t>
  </si>
  <si>
    <t>Gevoelontkenning</t>
  </si>
  <si>
    <t>Het ontkennen of onderdrukken van gevoelens (ontkenning van wat je werkelijk voelt).</t>
  </si>
  <si>
    <t>Het opzettelijk valselijk beschuldigen van iemand (frauduleus beschuldigen).</t>
  </si>
  <si>
    <t>Afleidingslist</t>
  </si>
  <si>
    <t>Een listige handeling bedoeld om iemand af te leiden van de eigenlijke kwestie of waarheid.</t>
  </si>
  <si>
    <t xml:space="preserve">Goedgelover </t>
  </si>
  <si>
    <t>Iemand die makkelijk gelooft, een naïef persoon die vertrouwen heeft.</t>
  </si>
  <si>
    <t>Onteigene</t>
  </si>
  <si>
    <t>Iemand die van zijn eigendom beroofd is, een onteigende persoon.</t>
  </si>
  <si>
    <t xml:space="preserve">Vulvangst </t>
  </si>
  <si>
    <t>Woordspeling op 'vulva' en 'vangst', waarbij de vrouwelijke geslachtsdelen als prooi worden gezien</t>
  </si>
  <si>
    <t xml:space="preserve">Denkbrief </t>
  </si>
  <si>
    <t>Een brief die alleen in gedachten wordt geschreven, mentaal opgesteld.</t>
  </si>
  <si>
    <t xml:space="preserve">Rampentocht </t>
  </si>
  <si>
    <t>Een reis of tocht vol rampen en tegenspoed.</t>
  </si>
  <si>
    <t xml:space="preserve">Vluchtpaniek </t>
  </si>
  <si>
    <t>Panische angst die ontstaat bij het vluchten of de drang om te vluchten.</t>
  </si>
  <si>
    <t>Kloosterwijven</t>
  </si>
  <si>
    <t>Vrouwen die in een klooster leven, een informele/volkse benaming voor nonnen of kloosterzusters.</t>
  </si>
  <si>
    <t>Zichtverlies</t>
  </si>
  <si>
    <t>Verlies van zicht op iets</t>
  </si>
  <si>
    <t>Nepprofeten</t>
  </si>
  <si>
    <t>Valse profeten, mensen die zich onterecht als godsdienstig leidsman voordoen</t>
  </si>
  <si>
    <t>Pislikeur</t>
  </si>
  <si>
    <t>Urine die overvloedig uitloopt, zodanig dat het als een vloeistof met alcohol (likeur) wordt gepresenteerd; beeldspraak voor stromende plas in een gênante situatie</t>
  </si>
  <si>
    <t>Homspuitbus</t>
  </si>
  <si>
    <t>Ironische term voor het mannelijke geslachtsorgaan</t>
  </si>
  <si>
    <t>Pensbui</t>
  </si>
  <si>
    <t>Een overvloedige zaadlozing in de vagina</t>
  </si>
  <si>
    <t>Vanillanorm</t>
  </si>
  <si>
    <t>Norm waarbij alleen conventionele praktijken geaccepteerd zijn.</t>
  </si>
  <si>
    <t>Seksrebel</t>
  </si>
  <si>
    <t>Iemand die seksueel non-conformistisch is, tegen de vaste/opgelegde normen ingaat</t>
  </si>
  <si>
    <t xml:space="preserve">Blufsuggestie </t>
  </si>
  <si>
    <t>Het subtiel suggereren van sterkte (bluf) zonder het expliciet te tonen, psychologische manipulatie bij vooral spel of debat.</t>
  </si>
  <si>
    <t>Leerverdediging</t>
  </si>
  <si>
    <t>Het verdedigen van een leer (opvatting, doctrine, theorie)</t>
  </si>
  <si>
    <t xml:space="preserve">Onafgetrokken </t>
  </si>
  <si>
    <t>Een situatie waarbij geen seksuele ontlading (masturbatie, orgasme) heeft plaatsgevonden.</t>
  </si>
  <si>
    <t>Terugbrakend</t>
  </si>
  <si>
    <t>Een lichamelijke of emotionele reactie waarbij iets dat eerder werd opgenomen (bijvoorbeeld geur, gevoel, indruk) weer naar buiten wordt gebracht.</t>
  </si>
  <si>
    <t xml:space="preserve">Apende </t>
  </si>
  <si>
    <t>Iets direct te associëren met apen.</t>
  </si>
  <si>
    <t>Gevoelsenergie</t>
  </si>
  <si>
    <t>Energie die voortkomt uit of gerelateerd is aan gevoelens of emoties; de kracht, trilling of vibratie die door emoties wordt opgewekt en invloed heeft op het eigen welzijn of het aantrekken van situaties (vergelijkbaar met begrippen als 'emotionele energie' in spiritualiteit/psychologie).</t>
  </si>
  <si>
    <t>Kraamhok</t>
  </si>
  <si>
    <t>Vagina</t>
  </si>
  <si>
    <t>Lijfbehoudzwoeger</t>
  </si>
  <si>
    <t>Iemand die zwoegt/ploetert voor het eigen lijfsbehoud, overlevende/mits hard werkend, compromisfiguur tussen zwoegen en overleven</t>
  </si>
  <si>
    <t>Jongens die onbetrouwbaar, zwak, stuntelig of onserieus zijn in hun handelen of omgang (combinatie van 'kwakkelen' en 'kwajongens')</t>
  </si>
  <si>
    <t>Zelfaaiers</t>
  </si>
  <si>
    <t>Personen die zichzelf seksueel bevredigen (woordspel op 'zelf', 'aaien' en 'masturbator')</t>
  </si>
  <si>
    <t xml:space="preserve">Zuigpijpen </t>
  </si>
  <si>
    <t>Borsten of tepels (combinatie van zuigen + pijpen, verwijzend naar borstvoeding)</t>
  </si>
  <si>
    <t>Roofwildernis</t>
  </si>
  <si>
    <t>Een wildernis van roofdierlijk gedrag; de ongetemde, begerige en gevaarlijke aard die in iemands blik te zien is.</t>
  </si>
  <si>
    <t>Westervördication</t>
  </si>
  <si>
    <t>Een samentrekking van (vermoedelijk) "Westervoort" en het Engelse "Californication", wat duidt op een seksuele escapade met een provinciaals of lokaal karakter, in tegenstelling tot de Hollywood-glamour die de Engelse term suggereert.</t>
  </si>
  <si>
    <t>Iemand die zichzelf overdreven prijst, troost of emotioneel oppept, vaak op een manier die narcisme of zelfgenoegzaamheid suggereert.</t>
  </si>
  <si>
    <t>Spraakherrie</t>
  </si>
  <si>
    <t xml:space="preserve">Lawaai veroorzaakt door spraak, meestal in de vorm van een onrustig, druk of chaotisch gepraat. </t>
  </si>
  <si>
    <t>“Wat ben je toch een oen!" ... brandend op de tafel landend met alle lampions.</t>
  </si>
  <si>
    <t>De overbezorgdheid van de moeder, die de controle wil nemen om een brand te voorkomen, maar juist zelf onbedoeld de lampion in brand steekt</t>
  </si>
  <si>
    <t>"al gaf zijn onderbuik, die altijd rammelde als zijn hart spartelde"</t>
  </si>
  <si>
    <t>Het fysieke rammelen (honger) wordt komisch gekoppeld aan moreel spartelen.</t>
  </si>
  <si>
    <t>"kende ze steeds geknield. Oogstend, biechtend, boenend of een zwengel zoenend."</t>
  </si>
  <si>
    <t>Een suggestieve seksuele dynamiek in de relatie</t>
  </si>
  <si>
    <t>“Weet jij ... waar venusheuvel ligt?” “Ik ben niet zo bekend met de landstreek, Mama!”</t>
  </si>
  <si>
    <t>De geografische onschuld van "landstreek" tegenover de meer suggestieve betekenis van de "venusheuvel."</t>
  </si>
  <si>
    <t>"Dus hield de boze meid haar onderkleed nog aan, toen ze in bad moest gaan."</t>
  </si>
  <si>
    <t>Het absurde beeld van een vrouw die met haar onderkleed in bad gaat tijdens een bevalling brengt een komische tegenstelling tussen de ernst van de situatie en haar koppige weigering zich aan te passen aan wat logisch lijkt.</t>
  </si>
  <si>
    <t>"Door het vrije uitzicht verdween zijn evenwicht en kukelde de schurk dwars door haar onderjurk."</t>
  </si>
  <si>
    <t>Het slapstick-beeld van de man die door het vrije uitzicht letterlijk zijn evenwicht en waardigheid verliest, is humoristisch door de fysieke klungeligheid.</t>
  </si>
  <si>
    <t>"Als brak en baadboter klom de rode koter in haar ontblote gat."</t>
  </si>
  <si>
    <t>Woordgrap met bak- en braadboter</t>
  </si>
  <si>
    <t>"Je beschermt me wel, toch?" – "Dat hangt van de vraag af. Kun je me bijbenen?"</t>
  </si>
  <si>
    <t>Een droge, ironische respons van de vader die veiligheid afhankelijk maakt van snelheid en fysieke vaardigheid, wat zijn gebrek aan echte bescherming humoristisch onderstreept.</t>
  </si>
  <si>
    <t>"Hij liet een klein windje zijn woede uitrazen. Echter bij het blazen kwam er wat diarree uit zijn poepgaatje mee."</t>
  </si>
  <si>
    <t xml:space="preserve">De opbouw suggereert een dreigende of agressieve situatie, mogelijk met seksuele of militaire connotaties, die grotesk wordt omgekeerd naar een lachwekkende, vernederende situatie. </t>
  </si>
  <si>
    <t>"Hoeveel verdient hij dan?" ... "Het is niet wat hij krijgt!"</t>
  </si>
  <si>
    <t>Aanvankelijk lijkt het antwoord over inkomen te gaan, maar de clou draait het om naar een morele of juridische context: het gaat niet om wat hij krijgt, maar om wat hij verdient in een andere zin.</t>
  </si>
  <si>
    <t>Nee, nee, nee! Kiest u uit: lachen, gieren, brullen.</t>
  </si>
  <si>
    <t>De absurditeit van het toneelstuk binnen het klooster, waarbij een quasi-serieus spel met theatraal misleidende reizigers eindigt in een clowneske keuze. Het publiek wordt onverwachts onderdeel van de grap.</t>
  </si>
  <si>
    <t>Wat een respectloos tuig! → "Nee, nee, nee!" (Abdes lacht toch mee)</t>
  </si>
  <si>
    <t>De grap draait om de ironie dat de abdes, eerst verontwaardigd over het volksvermaak, uiteindelijk zelf meegaat in de humor. De spanning tussen autoriteit en speelsheid wordt zo speels doorbroken.</t>
  </si>
  <si>
    <t>“Ik zou niet graag meneer met u getrouwd zijn, hoor!” “Wees daar maar niet bang voor. Dat zal nooit gebeuren!”</t>
  </si>
  <si>
    <t>Een vorm van omkering: waar het kind zijn afkeer uitspreekt, wordt die afkeer direct beantwoord met een bevestiging dat het inderdaad nooit zal plaatsvinden.</t>
  </si>
  <si>
    <t>“Hé, ben jij ook zwanger?” Voorts zei de kerkganger: “Nee! Ik ben gewoon dik!”</t>
  </si>
  <si>
    <t>Door een vrouw te vragen of ze zwanger is, impliceert men dat ze een zichtbare buik heeft, wat als een subtiele, maar onhandige manier van ‘dik noemen’ wordt ervaren.</t>
  </si>
  <si>
    <t>“Mijn geestigvermogen moet de mens niet pogen te onderwaarderen!”</t>
  </si>
  <si>
    <t>De poging om met dure woorden indruk te maken, ondermijnt zichzelf juist door een verkeerd woord te gebruiken waar juist geestig in zit.</t>
  </si>
  <si>
    <t>Toen vader met sperma vlekken op zijn schaamlap, ... “diepe kontinhetplaatsie!”</t>
  </si>
  <si>
    <t xml:space="preserve">Vader probeert geleerd te klinken, maar in plaats van contemplatie roept hij kontinhetplaatsie, waardoor hij de kont als dé plaats duidt in de context van een bordeelbezoek. </t>
  </si>
  <si>
    <t>“Haal jij Emma nu op?" ...  “En Emma?”</t>
  </si>
  <si>
    <t xml:space="preserve">De humor zit in de drievoudige afleiding: eerst intellectuele zelfrechtvaardiging, dan drank, en uiteindelijk een bordeel. </t>
  </si>
  <si>
    <t>Haar huid speelde van streek verstoppertje zo bleek, want hij werd blootgesteld.</t>
  </si>
  <si>
    <t>De grap speelt met het idee dat de huid emoties verraadt (zoals blozen of verbleken), waardoor hij 'verstoppertje' niet kan winnen. De woordspeling op "blootgesteld" (zowel letterlijk als figuurlijk) versterkt het effect: de huid kan niets verbergen, net zoals een geheim dat wordt doorverteld.</t>
  </si>
  <si>
    <t>“Weet je wel wie ik ben?” ... “Geestelijk instabiel: de vorst is zo labiel dat hij zichzelf niet kent.”</t>
  </si>
  <si>
    <t>Het dreigende personage geeft de keurder door zijn vraag een manier om zijn hekel aan de arrogantie tot een afwijzing wegens instabiliteit.</t>
  </si>
  <si>
    <t>“Je houdt van vogelen?” – “Nee, ik hou van vogels!”</t>
  </si>
  <si>
    <t>Een woordspeling op het dubbelzinnige “vogelen”, dat zowel het observeren van vogels als een eufemisme voor seks kan betekenen.</t>
  </si>
  <si>
    <t>"Je wilt dus van harte met een vogel vrijen" ... “Genoeg vogelvrijen om mee te gaan vrijen!”</t>
  </si>
  <si>
    <t>Een woordspeling op "vogelvrijen", dat zowel kan betekenen "buiten de wet gesteld zijn" als letterlijk "vrijen met een vogel"</t>
  </si>
  <si>
    <t>“Schijt jij nu je broek vol?” ... “Het lijkt toch te lukken!”</t>
  </si>
  <si>
    <t>De verwachting is dat het broertje zich schaamt voor het in de broek poepen, maar in plaats daarvan is hij juist trots op zijn 'prestatie'.</t>
  </si>
  <si>
    <t>"Ik zal het wel voordoen!” ... “Ook ik ben maar een mens”</t>
  </si>
  <si>
    <t>De ontmaskering van de schijnheiligheid (geiligheid) van de sekteleider die zijn eigen regels niet kan volgen ("Ook ik ben maar een mens")</t>
  </si>
  <si>
    <t>"Het werd pikkedonker. Ze dacht; 'pik de jonker'."</t>
  </si>
  <si>
    <t>Woordspeling waarbij "pikkedonker" verwijst naar "pikdonker" (heel donker), maar ook naar Emmy's ondeugende gedachte over "pik" in de seksuele zin.</t>
  </si>
  <si>
    <t>"“Slik!”, dacht de jongeheer. Dik werd zijn jongeheer."</t>
  </si>
  <si>
    <t>Woordgrap op "jongeheer", eerst verwijzend naar de jongeman zelf en vervolgens dubbelzinnig naar zijn erectie.</t>
  </si>
  <si>
    <t>“Ik heb koken geleerd, dus ganzen gefileerd!”</t>
  </si>
  <si>
    <t>Woordspeling: van dansende ganzen (soldaten) naar culinaire dreiging. Dreiging met humor.</t>
  </si>
  <si>
    <t>“De hofmeester gaf door; ‘Scherp onderhandeld hoor!’”</t>
  </si>
  <si>
    <t>Droge, ironische opmerking: de landheer onderhandelt niet, hij laat zich leiden door lust.</t>
  </si>
  <si>
    <t>“en wat denk je van mij!”</t>
  </si>
  <si>
    <t>Een klassiek voorbeeld van omdraai-ironie, waarbij de slachtofferrol geclaimd wordt.</t>
  </si>
  <si>
    <t>Moeder snurkt zelf → vader wraakt met seks → “Hé? Je vroeg er zelf om!”</t>
  </si>
  <si>
    <t>Snurken is de aanleiding is voor seksueel wraak</t>
  </si>
  <si>
    <t>“Een houten plankje... als pijnlijk bedankje”</t>
  </si>
  <si>
    <t>Verdediging tegen lijfstraffen met een ‘plankje’ als ‘bedankje'</t>
  </si>
  <si>
    <t>Filosofen als doopnamen</t>
  </si>
  <si>
    <t>Pierre Bayle, Gottfried Leibniz, René Descartes, John Locke, Baruch Spinoza bekend om hun kritische denken, staan haaks op het dogmatische karakter van het klooster.</t>
  </si>
  <si>
    <t>“de waarheid ligt nabij, ... op haar kleine tenen.</t>
  </si>
  <si>
    <t>De jager zegt dat de waarheid ‘nabij’ is en dat mensen er vaak ‘overheen kijken’. Terwijl hij letterlijk naar haar voeten kijkt en de aanduiding van haar shock (haar plas) zich recht voor zijn ogen en juist beneden haar plaatsvindt.</t>
  </si>
  <si>
    <t>Je bent nooit eens op tijd! ... Als de dood ons ooit scheidt, beloof ik dat ik zal wachten!</t>
  </si>
  <si>
    <t>Een ironische knipoog naar altijd te laat zijn, met een komische belofte dat dit zelfs na de dood een thema zal blijven.</t>
  </si>
  <si>
    <t>Hij trok eerst sokken aan. Als een held op sokken extra opgetrokken.</t>
  </si>
  <si>
    <t>"Held op sokken" is een bekende uitdrukking die hier letterlijke invulling krijgt. Vader beschermt zijn voeten tegen gevaar, ook al zou het irrelevant zijn in een situatie als brand.</t>
  </si>
  <si>
    <t>Men plaatste een schietschijf ... buiten bereik achtten</t>
  </si>
  <si>
    <t>De testofficier trekt de conclusie dat de jager onhandig is of doet omdat hij een dichtbij geplaatste statische schietschijf mist. Het komische contrast wordt echter duidelijk wanneer blijkt dat de jager, op eigen initiatief, op veel grotere afstand drie bewegende doelen heeft geraakt.</t>
  </si>
  <si>
    <t>Elk liturgisch drama ... op weg naar het drama.</t>
  </si>
  <si>
    <t>Maria's klaagt over het drama van anderen terwijl ze letterlijk zichzelf begeeft naar een liturgisch drama, wat benadrukt hoe inconsistent ze is in haar voorkeuren.</t>
  </si>
  <si>
    <t>“Oh mijn God, dat ben ik! ...  schaduwtheater.</t>
  </si>
  <si>
    <t xml:space="preserve">Maria ziet een silhouet tegen de muur en concludeert in haar zenuwachtigheid onmiddellijk dat het haar eigen "zondige natuur" is die zich manifesteert in een schaduwachtige vorm. </t>
  </si>
  <si>
    <t>De zoete ... Nooit snoep voor Maria</t>
  </si>
  <si>
    <t>Maria wordt eerst beloond voor haar ondeugd, maar straft zichzelf door te veel te snoepen en haar favoriet te moeten laten staan; uiteindelijk wordt ze definitief gestraft met een snoepverbod omdat ze er zogenaamd ‘niet tegen kan’.</t>
  </si>
  <si>
    <t>“uit welke grot ... Ze kroop ook in een grot</t>
  </si>
  <si>
    <t>Maria zoekt in grotten naar het duister omdat ze "uit welke grot ben jij gekropen" letterlijk neemt.</t>
  </si>
  <si>
    <t>Daarom als derde keer / wens ik dat ik als mens / in geen geval iets wens!</t>
  </si>
  <si>
    <t>De grap zit hem erin dat Emmy denkt haar problemen te beëindigen door geen verdere wensen te doen, maar het tegendeel gebeurt: door haar laatste wens geeft ze Mara—een personificatie van begeerte, chaos of kwaad—volledig vrij spel.</t>
  </si>
  <si>
    <t>bij het zien van de maan ... Ik denk altijd aan seks!</t>
  </si>
  <si>
    <t>De vraag over de maan wordt op een poëtische wijze gesteld, wat een kans biedt voor reflectie of romantische ideeën. Het antwoord is echter verrassend plat en direct en breekt humoristisch met de toon die men bij zo'n vraag zou verwachten.</t>
  </si>
  <si>
    <t>Streel dit maar Matthias', terwijl zijn naam Jan was.</t>
  </si>
  <si>
    <t>Emma noemt hem Matthias terwijl hij eigenlijk Jan heet, wat een hilarische blunder is en een indicatie van haar oppervlakkigheid of roekeloosheid in het contact met mannen.</t>
  </si>
  <si>
    <t>Hij dacht als klasgenoot dat ze haar hand aanbood ...  standaard oefenzinnen!</t>
  </si>
  <si>
    <t>De verliefde jongen denkt dat Emma hem serieuze liefdesverklaringen doet omdat ze in het Latijn zinnen gebruikt als “Laten wij liefhebben!” en andere op het huwelijk lijkende zinnen.</t>
  </si>
  <si>
    <t>Het bordeel als adres</t>
  </si>
  <si>
    <t>De landheer "grapt" door het bordeeladres aan te houden, waardoor communicatie per brief belachelijk en onmogelijk wordt.</t>
  </si>
  <si>
    <t>"‘Je vader heeft niet door dat hij zelf wordt gesteund, daar hij zelf miskleunt.’”</t>
  </si>
  <si>
    <t>De ironie zit in het feit dat de vader denkt anderen te helpen, maar juist zelf degene is die hulp nodig heeft.</t>
  </si>
  <si>
    <t>“Als ik mijn paard bestijg, dan wil hij graag rijden!”</t>
  </si>
  <si>
    <t>Letterlijk over paardrijden, maar met duidelijke seksuele dubbele bodem; het taalspel tussen moeder en vader is een komische illustratie van huwelijkse frustratie.</t>
  </si>
  <si>
    <t>"Vandaag is juist de dag dat ik er weer op mag!" vs "Ik ook" (treurig)</t>
  </si>
  <si>
    <t>De eerste man is opgetogen dat hij vandaag weer intiem mag zijn met zijn vrouw, terwijl de tweede man precies hetzelfde zegt maar dan bedroefd - wat suggereert dat hij het als een verplichting of last ervaart, mogelijk omdat zijn vrouw onaantrekkelijk is.</t>
  </si>
  <si>
    <t>"Ik wil geen sex met je!" (neef tegen Emmy)</t>
  </si>
  <si>
    <t xml:space="preserve">De neef herkent Emmy niet meteen en heeft van oom geleerd dat elke vrouw die vraagt "ga je mee?" eigenlijk seks wil. Wanneer Emmy onschuldig vraagt of hij meegaat, reageert hij direct defensief met deze blunderende beschuldiging. </t>
  </si>
  <si>
    <t>"Jeetje, wat ben je groot!" ... keek hij toen ondeugend</t>
  </si>
  <si>
    <t>Hier wordt de reactie van een bewonderende "griet" (meisje/vrouw) komisch uitvergroot: de profeet geniet van haar onschuldige bewondering, maar zijn blik zwerft ondeugend naar beneden, in de verwachting dat zij hierdoor in verlegenheid iets gênants zal doen.</t>
  </si>
  <si>
    <t>“plaste eens door een kier"..."over zijn sokken liep”</t>
  </si>
  <si>
    <t>De gênante situatie van betrapt worden terwijl de urine over sokken stroomt.</t>
  </si>
  <si>
    <t>"het roven maar afgelopen moest wezen"</t>
  </si>
  <si>
    <t>De profeet komt erachter dat er meer is dan alleen een brood stelen, want juist pas bij een crimineel om te doen namelijk het kleiner maken.</t>
  </si>
  <si>
    <t>“Spoel je droom verder door!”</t>
  </si>
  <si>
    <t>De bisschop meent ten onrechte dat hij de les doorheeft totdat de toekomst zich aandient</t>
  </si>
  <si>
    <t>“Een gift voor de armen?”</t>
  </si>
  <si>
    <t>De vraag die Maria stelt, krijgt ze als boemerang terug, omdat het gezinshoofd alles wat ze had “geroofd” terugneemt – zij vraagt om een gift, maar moet zelf “geven” (namelijk teruggeven). Omkering van de rollen werkt als grap.</t>
  </si>
  <si>
    <t>“Heb jij daar ook last van?”</t>
  </si>
  <si>
    <t>Ze probeert met haar "standaard vangzin", "Heb jij daar ook last van?", inlveingsvermogen te veinzen.</t>
  </si>
  <si>
    <t>Het bord was met water / door de jongen geschoond</t>
  </si>
  <si>
    <t>De jongen wist het bord (waar zijn naam op stond als straf) schoon te vegen; letterlijk én figuurlijk wordt zijn straf uitgewist.</t>
  </si>
  <si>
    <t>Ik meende dat u zei: / je hebt vier weken vrij. / Niet: de fier kweken blij</t>
  </si>
  <si>
    <t>De jongen ‘hoort’ selectief wat hem het beste uitkomt, wat voor een ironische grap zorgt.</t>
  </si>
  <si>
    <t>"Het lijkt alsof ze zweeft / als ze haar zegen geeft!" / "Omdat ze geen hart heeft"</t>
  </si>
  <si>
    <t>Een cynische woordspeling op het "zweven" van heiligheid versus de harteloosheid van de abdis.</t>
  </si>
  <si>
    <t>Ze wuifde hem daarna met zijn eigen sperma</t>
  </si>
  <si>
    <t>Ze zwaait hem uit met een handjevol sperma, dat ze als ‘souvenir’ teruggooit, waarop het op zijn hoofd landt.</t>
  </si>
  <si>
    <t>Hoofdstuk</t>
  </si>
  <si>
    <t>Paragraaf</t>
  </si>
  <si>
    <t>Paginanummers</t>
  </si>
  <si>
    <t>Accountants &amp; Dieven</t>
  </si>
  <si>
    <t>Een spel waarin financiële professionals dubieuze of oneerlijke praktijken hanteren, vergelijkbaar met dieven.</t>
  </si>
  <si>
    <t>Agenten &amp; Dieven</t>
  </si>
  <si>
    <t>Een dynamiek van confrontatie en manipulatie tussen handhavers van de wet en diegenen die de regels overtreden.</t>
  </si>
  <si>
    <t>Onderwereld spelen</t>
  </si>
  <si>
    <t>a</t>
  </si>
  <si>
    <t>129, 137-142, 145, 146</t>
  </si>
  <si>
    <t>Alcoholist</t>
  </si>
  <si>
    <t>Een scenario waarin iemand herhaaldelijk zijn of haar toevlucht neemt tot alcohol, vaak om persoonlijke problemen of verantwoordelijkheden te vermijden.</t>
  </si>
  <si>
    <t>Levensspelen</t>
  </si>
  <si>
    <t>72-80, 138, 139</t>
  </si>
  <si>
    <t>Alle Grote Mannen Waren Zo</t>
  </si>
  <si>
    <t>Een rechtvaardigingsspel waarbij iemand zijn gedrag goedpraat door te verwijzen naar beroemde of succesvolle figuren met vermeende soortgelijke eigenschappen.</t>
  </si>
  <si>
    <t>Als Hij Er Niet Was</t>
  </si>
  <si>
    <t>Een spel waarin iemand de schuld of verantwoordelijkheid voor persoonlijke tekortkomingen of situaties op een ander persoon afschuift.</t>
  </si>
  <si>
    <t>50, 58, 106</t>
  </si>
  <si>
    <t>Als Jij Er Niet Was</t>
  </si>
  <si>
    <t>Een persoon geeft een ander de schuld voor het niet bereiken van zijn of haar eigen doelen.</t>
  </si>
  <si>
    <t>Echtelijke spelen</t>
  </si>
  <si>
    <t>e</t>
  </si>
  <si>
    <t>50, 52-58, 64, 92, 103, 105, 106</t>
  </si>
  <si>
    <t>Als Zij Er Niet Waren</t>
  </si>
  <si>
    <t>Een spel waarbij iemand de schuld of verantwoordelijkheid voor eigen problemen toewijst aan de afwezigheid of acties van anderen.</t>
  </si>
  <si>
    <t>Archeologie</t>
  </si>
  <si>
    <t>Een psychologisch spel waarbij iemand voortdurend oude kwesties of problemen uit het verleden opgraaft.</t>
  </si>
  <si>
    <t>Astma</t>
  </si>
  <si>
    <t>Mogelijk een scenario waarin iemand fysieke symptomen (zoals astma) gebruikt om aandacht of zorg te krijgen.</t>
  </si>
  <si>
    <t>Barkrukje</t>
  </si>
  <si>
    <t>Een spel gespeeld in sociale situaties zoals bars, mogelijk gerelateerd aan het zoeken van aandacht of het vermijden van verantwoordelijkheden.</t>
  </si>
  <si>
    <t>Behoeftigheid</t>
  </si>
  <si>
    <t>Een dynamiek waarbij iemand voortdurend behoeftig of afhankelijk gedrag vertoont om aandacht of hulp te krijgen.</t>
  </si>
  <si>
    <t>Spreekkamer spelen</t>
  </si>
  <si>
    <t>c</t>
  </si>
  <si>
    <t>151, 153-157, 168</t>
  </si>
  <si>
    <t>Boer</t>
  </si>
  <si>
    <t>Dit kan duiden op een spel waarbij iemand zich eenvoudig of onwetend voordoet, wellicht om verwachtingen te verlagen of sympathie te winnen.</t>
  </si>
  <si>
    <t>d</t>
  </si>
  <si>
    <t>147, 157-161, 162</t>
  </si>
  <si>
    <t>Bovendien</t>
  </si>
  <si>
    <t>Een spel waarbij iemand voortdurend extra argumenten of excuses toevoegt om zijn of haar positie te versterken of kritiek te ontwijken.</t>
  </si>
  <si>
    <t>97, 98, 124</t>
  </si>
  <si>
    <t>Brood Mee</t>
  </si>
  <si>
    <t>Mogelijk een spel van voortdurende zorg of verantwoordelijkheid, zoals het zorgen voor de basisbehoeften van anderen.</t>
  </si>
  <si>
    <t>Brave Borst</t>
  </si>
  <si>
    <t>Een rol waarbij iemand zichzelf voordoet als buitengewoon nobel of zelfopofferend, vaak om goedkeuring of bewondering te krijgen.</t>
  </si>
  <si>
    <t>76, 78, 82</t>
  </si>
  <si>
    <t>Broeikas</t>
  </si>
  <si>
    <t>Kan duiden op een beschermende of overbezorgde omgeving, waarin groei of ontwikkeling belemmerd wordt.</t>
  </si>
  <si>
    <t>147-149</t>
  </si>
  <si>
    <t>Cavalier</t>
  </si>
  <si>
    <t>Een spel waarin iemand zich gedraagt op een overdreven hoffelijke of galante manier, mogelijk met verborgen motieven.</t>
  </si>
  <si>
    <t>Goede spelen</t>
  </si>
  <si>
    <t>b</t>
  </si>
  <si>
    <t>171, 172-174</t>
  </si>
  <si>
    <t>Chantage</t>
  </si>
  <si>
    <t>Een dynamiek waarbij iemand dreigt schade te berokkenen of geheimen te onthullen om iets te bereiken.</t>
  </si>
  <si>
    <t>86, 131, 144</t>
  </si>
  <si>
    <t>Clown</t>
  </si>
  <si>
    <t>Een rol waarbij iemand constant de clown speelt of grappen maakt, mogelijk om aandacht te krijgen of echte emoties te verbergen.</t>
  </si>
  <si>
    <t>Courtier</t>
  </si>
  <si>
    <t>Een spel van hofmakerij of sycophantie, waarbij iemand probeert in de gunst te komen bij superieuren of autoriteiten door vleierij of onderdanigheid.</t>
  </si>
  <si>
    <t>Daar Ga Ik Weer</t>
  </si>
  <si>
    <t>Een spel waarbij iemand herhaaldelijk hetzelfde destructieve of ongewenste gedrag vertoont, vaak met een zekere herkenning van het patroon.</t>
  </si>
  <si>
    <t>63, 89</t>
  </si>
  <si>
    <t>Dan Zullen Wij</t>
  </si>
  <si>
    <t>Een dynamiek waarbij een groep of individu dreigt met of plant om gezamenlijk actie te ondernemen, vaak als reactie op een uitdaging of bedreiging.</t>
  </si>
  <si>
    <t>De Balans</t>
  </si>
  <si>
    <t>Een spel waarbij iemand voortdurend de 'balans' van geven en nemen in relaties analyseert of manipuleert.</t>
  </si>
  <si>
    <t>43, 49</t>
  </si>
  <si>
    <t>De Grote Zaak</t>
  </si>
  <si>
    <t>Mogelijk een scenario waarbij iemand betrokken is bij of geobsedeerd is door een groot, vaak overdreven belangrijk project of doel.</t>
  </si>
  <si>
    <t>Doe Me Wat</t>
  </si>
  <si>
    <t>Een uitdagend spel waarbij iemand anderen uitlokt of provoceert, mogelijk om een reactie uit te lokken of zichzelf in een slachtofferrol te plaatsen.</t>
  </si>
  <si>
    <t>125, 166</t>
  </si>
  <si>
    <t>Douane &amp; Dieven</t>
  </si>
  <si>
    <t>Een dynamiek van confrontatie en ontduiking, vergelijkbaar met het spel van 'agenten en dieven', maar dan in de context van douane en smokkelaars.</t>
  </si>
  <si>
    <t>Drinkfontein</t>
  </si>
  <si>
    <t>Kan een scenario beschrijven waarbij iemand centraal staat in sociale interacties, vergelijkbaar met een 'waterplaats' waar mensen samenkomen.</t>
  </si>
  <si>
    <t>Droge Alcoholist</t>
  </si>
  <si>
    <t>Een term die gebruikt kan worden voor iemand die niet langer drinkt, maar nog steeds destructieve gedragspatronen vertoont die geassocieerd worden met alcoholisme.</t>
  </si>
  <si>
    <t>62, 75</t>
  </si>
  <si>
    <t>Duvel op Kerel</t>
  </si>
  <si>
    <t>Een spel waarbij iemand zich agressief of provocerend gedraagt, mogelijk om een reactie of conflict uit te lokken.</t>
  </si>
  <si>
    <t>130, 173</t>
  </si>
  <si>
    <t>Filmmakers Divan</t>
  </si>
  <si>
    <t>Mogelijk een spel gerelateerd aan de filmindustrie, waarbij drama's en intriges worden gecreëerd zoals in films.</t>
  </si>
  <si>
    <t>Garderobe</t>
  </si>
  <si>
    <t>Een spel dat te maken kan hebben met sociale status of uiterlijk vertoon, waarbij kleding of uiterlijk gebruikt wordt om een bepaalde indruk te wekken of te concurreren.</t>
  </si>
  <si>
    <t>42, 43, 46</t>
  </si>
  <si>
    <t>Geeft Mij Een Schop</t>
  </si>
  <si>
    <t>Een persoon gedraagt zich op een manier die anderen uitlokt om hem of haar te bekritiseren of aan te vallen.</t>
  </si>
  <si>
    <t>69, 72, 83, 84, 89, 130</t>
  </si>
  <si>
    <t>Geestelijke Gezondheidszorg</t>
  </si>
  <si>
    <t>Een spel waarbij iemand zich voortdurend bezighoudt met de aspecten van geestelijke gezondheid, mogelijk overmatig gericht op therapie of diagnose.</t>
  </si>
  <si>
    <t>General Motors</t>
  </si>
  <si>
    <t>Mogelijk een spel gerelateerd aan bedrijfsleven of industrie, waarbij men zich bezighoudt met de dynamiek en intriges van grote corporaties.</t>
  </si>
  <si>
    <t>42, 43, 47</t>
  </si>
  <si>
    <t>Gevaarlijk Sujet</t>
  </si>
  <si>
    <t>Een scenario waarbij iemand zich gedraagt op een manier die door anderen als riskant of bedreigend wordt gezien.</t>
  </si>
  <si>
    <t>Ging Niet Goed</t>
  </si>
  <si>
    <t>Een spel van zelfbeklag of excuus waarbij iemand vaak aangeeft dat dingen niet goed zijn gegaan, mogelijk om verantwoordelijkheid te ontwijken.</t>
  </si>
  <si>
    <t>Goed Gedrag</t>
  </si>
  <si>
    <t>Een dynamiek waarbij iemand voortdurend probeert goed of voorbeeldig gedrag te tonen, vaak om waardering of goedkeuring te krijgen.</t>
  </si>
  <si>
    <t>Haveloos</t>
  </si>
  <si>
    <t>Een spel waarbij iemand zichzelf verwaarloost of zich armoedig voordoet, mogelijk om medelijden of aandacht te trekken.</t>
  </si>
  <si>
    <t>84, 95</t>
  </si>
  <si>
    <t>Heb Ik Het Niet Gezegd?</t>
  </si>
  <si>
    <t>Een 'ik-zei-het-toch'-spel, waarbij iemand zichzelf voordoet als wijs of voorspellend na het feit.</t>
  </si>
  <si>
    <t>Helpgraag</t>
  </si>
  <si>
    <t>Een spel waarbij iemand overdreven behulpzaam is, mogelijk om waardering te krijgen of controle over situaties te behouden.</t>
  </si>
  <si>
    <t>171, 174, 175</t>
  </si>
  <si>
    <t>Herrie</t>
  </si>
  <si>
    <t>Het creëren van een crisis om aandacht te trekken of te vermijden dat er over echte problemen wordt gesproken.</t>
  </si>
  <si>
    <t>Seksuele spelen</t>
  </si>
  <si>
    <t>33, 93, 98, 99, 101, 102, 127, 135, 136</t>
  </si>
  <si>
    <t>Het Is De Maatschappij Waarin Wij Leven</t>
  </si>
  <si>
    <t>Een spel waarin iemand zijn of haar persoonlijke problemen of tekortkomingen toeschrijft aan maatschappelijke omstandigheden of structuren.</t>
  </si>
  <si>
    <t>Hier Heb Jij Mij In Laten Lopen</t>
  </si>
  <si>
    <t>Een scenario waarbij iemand een ander de schuld geeft van het belanden in een ongewenste of problematische situatie.</t>
  </si>
  <si>
    <t>88, 89</t>
  </si>
  <si>
    <t>Hoe Kom Je Hier Uit</t>
  </si>
  <si>
    <t>Een spel dat draait om het zoeken naar uitwegen of oplossingen uit moeilijke of complexe situaties, vaak met de implicatie dat er geen eenvoudige uitweg is.</t>
  </si>
  <si>
    <t>137, 142-144</t>
  </si>
  <si>
    <t>Hoe Moet Je</t>
  </si>
  <si>
    <t>Een spel waarin iemand voortdurend om raad of instructies vraagt, mogelijk om verantwoordelijkheid te ontwijken of om anderen te betrekken.</t>
  </si>
  <si>
    <t>Hoe Veel</t>
  </si>
  <si>
    <t>Dit kan gaan over een preoccupatie met kwantiteit of kosten, mogelijk in een context van onderhandelingen of beoordelingen.</t>
  </si>
  <si>
    <t>43, 45</t>
  </si>
  <si>
    <t>Homoseksualiteit</t>
  </si>
  <si>
    <t>In de context van Berne's spelen zou dit kunnen verwijzen naar de dynamieken rond seksuele oriëntatie en de sociale interacties of stigma's die daarmee gepaard kunnen gaan.</t>
  </si>
  <si>
    <t>Houten Been</t>
  </si>
  <si>
    <t>Een spel waarin iemand een handicap of beperking (letterlijk of figuurlijk) gebruikt als excuus of rechtvaardiging voor bepaald gedrag of het niet behalen van doelen.</t>
  </si>
  <si>
    <t>g</t>
  </si>
  <si>
    <t>76, 96, 107, 129, 147, 166-170, 181</t>
  </si>
  <si>
    <t>Ik Kan Het Je Tegen Kostprijs Bezorgen</t>
  </si>
  <si>
    <t>Een spel gerelateerd aan zakelijke transacties of onderhandelingen, waarbij iemand een deal aanbiedt die te mooi lijkt om waar te zijn.</t>
  </si>
  <si>
    <t>151, 153</t>
  </si>
  <si>
    <t>Ik Ook</t>
  </si>
  <si>
    <t>Een spel waarin iemand voortdurend probeert mee te doen of te imiteren wat anderen doen, mogelijk om erbij te horen of goedkeuring te krijgen.</t>
  </si>
  <si>
    <t>Ik Probeer Je Alleen Maar Te Helpen</t>
  </si>
  <si>
    <t>Een persoon biedt hulp aan, maar doet dit op een manier die manipulatief of controlerend is.</t>
  </si>
  <si>
    <t>76, 84, 88, 89, 123, 124, 147, 149-153, 162, 166, 168, 181</t>
  </si>
  <si>
    <t>Ik Wil Er Uit</t>
  </si>
  <si>
    <t>Een spel waarbij iemand verlangt naar of plant om te ontsnappen uit een huidige situatie of rol.</t>
  </si>
  <si>
    <t>Ik Zal Ze Leren</t>
  </si>
  <si>
    <t>Een dynamiek waarbij iemand het gevoel heeft anderen een lesje te moeten leren, vaak als reactie op een ervaren onrecht.</t>
  </si>
  <si>
    <t>In Een Hoek Gedrukt</t>
  </si>
  <si>
    <t>Een persoon dwingt een ander in een positie waaruit geen ontsnappen mogelijk is, vaak door middel van retorische trucs of manipulatie.</t>
  </si>
  <si>
    <t>92-96</t>
  </si>
  <si>
    <t>Inrichting</t>
  </si>
  <si>
    <t>Kan verwijzen naar een spel binnen een institutionele setting, zoals een ziekenhuis of gevangenis, waarbij men omgaat met de regels en dynamieken van die omgeving.</t>
  </si>
  <si>
    <t>t Is Echt Niets Bijzonders</t>
  </si>
  <si>
    <t>Een spel waarbij iemand zijn of haar prestaties of problemen bagatelliseert, mogelijk om aandacht of lof te ontwijken.</t>
  </si>
  <si>
    <t>Is Het Niet Vreselijk</t>
  </si>
  <si>
    <t>Een 'spel' waarbij mensen samenkomen om te klagen over de staat van de wereld of het leven in het algemeen.</t>
  </si>
  <si>
    <t>Gezelschapsspelen</t>
  </si>
  <si>
    <t>47, 64, 70, 86, 112-114, 116, 129, 133</t>
  </si>
  <si>
    <t>Ja, Ja Hoe Zit Dat Eigenlijk</t>
  </si>
  <si>
    <t>Een spel van scepsis of twijfel, waarbij iemand voortdurend vraagt om uitleg of verduidelijking, mogelijk om anderen in twijfel te trekken.</t>
  </si>
  <si>
    <t>Je Moet Luisteren</t>
  </si>
  <si>
    <t>Een dynamiek waarbij iemand eist dat anderen aandachtig luisteren of gehoorzamen, vaak als machtsuitoefening.</t>
  </si>
  <si>
    <t>143, 144</t>
  </si>
  <si>
    <t>Jeugdmisdaad</t>
  </si>
  <si>
    <t>Een spel gerelateerd aan de dynamieken rond jeugdcriminaliteit en de reacties daarop van de gemeenschap of autoriteiten.</t>
  </si>
  <si>
    <t>Kapotte Huid</t>
  </si>
  <si>
    <t>Kan een spel zijn waarbij iemand fysieke of emotionele kwetsbaarheden benadrukt, mogelijk om zorg of aandacht te krijgen.</t>
  </si>
  <si>
    <t>Kent U</t>
  </si>
  <si>
    <t>Een spel van netwerken of sociale interactie, waarbij iemand zijn of haar kennis van belangrijke of invloedrijke personen benadrukt.</t>
  </si>
  <si>
    <t>Keuken</t>
  </si>
  <si>
    <t xml:space="preserve"> Mogelijk een spel dat draait om de huiselijke of achtergrond-dynamieken, waar 'keuken' metaforisch staat voor de plek waar alles gebeurt.</t>
  </si>
  <si>
    <t>42, 43</t>
  </si>
  <si>
    <t>Kleine Ikkes</t>
  </si>
  <si>
    <t>Een spel waarbij iemand zich klein of onbeduidend voordoet, mogelijk om sympathie te wekken of verwachtingen te verlagen.</t>
  </si>
  <si>
    <t>112, 159</t>
  </si>
  <si>
    <t>Koele Man</t>
  </si>
  <si>
    <t>Een spel waarbij iemand zich emotioneel afstandelijk of onaangedaan voordoet, mogelijk als verdedigingsmechanisme.</t>
  </si>
  <si>
    <t>64, 92, 100, 136</t>
  </si>
  <si>
    <t>Koele Vrouw</t>
  </si>
  <si>
    <t>63, 92, 98-102, 131, 135, 136</t>
  </si>
  <si>
    <t>Koffiepauze</t>
  </si>
  <si>
    <t>Een scenario van sociale interactie en ontspanning, waarbij gesprekken en relaties zich op een informele manier ontwikkelen.</t>
  </si>
  <si>
    <t>Kritiek</t>
  </si>
  <si>
    <t>Een spel waarbij iemand voortdurend kritiek uit of ontvangt, mogelijk als manier om aandacht te krijgen of relaties te beïnvloeden.</t>
  </si>
  <si>
    <t>Kousenspel</t>
  </si>
  <si>
    <t>Kan duiden op een spel van verleiding of flirt, waarbij kleding of uiterlijk een rol speelt.</t>
  </si>
  <si>
    <t>127, 133, 134</t>
  </si>
  <si>
    <t>Kruidenier</t>
  </si>
  <si>
    <t>Een spel dat draait om zakelijke of dagelijkse transacties, mogelijk met een focus op kleinheid of detail.</t>
  </si>
  <si>
    <t>Kijk Eens Hoe Ik Mijn Best Deed</t>
  </si>
  <si>
    <t>Deze reeks spelen kan gaan over het zoeken naar erkenning of waardering voor inspanningen of prestaties, waarbij iemand benadrukt hoe hard hij of zij heeft geprobeerd.</t>
  </si>
  <si>
    <t>107-109</t>
  </si>
  <si>
    <t>Kijk Eens Hoe Ik Mijn Best Doe</t>
  </si>
  <si>
    <t>92, 105, 107, 150</t>
  </si>
  <si>
    <t>Kijk Eens Hoe Ik Mijn Best Heb Gedaan</t>
  </si>
  <si>
    <t>f</t>
  </si>
  <si>
    <t>106-109, 186</t>
  </si>
  <si>
    <t>Kijk Eens Wat Je Mij Hebt Laten Doen</t>
  </si>
  <si>
    <t>Een persoon maakt een fout en geeft de schuld aan een ander, suggererend dat de fout werd veroorzaakt door de ander.</t>
  </si>
  <si>
    <t>72, 87-91, 151</t>
  </si>
  <si>
    <t>Kijk Eens Wat Jij Mij Gedaan Hebt</t>
  </si>
  <si>
    <t>Een spel waarin iemand een ander de schuld geeft van zijn of haar eigen situatie of problemen.</t>
  </si>
  <si>
    <t>Kijk Eens Wat Zij Mij Hebben Laten Doen</t>
  </si>
  <si>
    <t>Een scenario waarbij iemand verantwoordelijkheid afschuift door te beweren dat anderen hem of haar tot bepaald gedrag hebben aangezet.</t>
  </si>
  <si>
    <t>Kijk Eens Of Je Mij Tegen Kunt Houden</t>
  </si>
  <si>
    <t>Een uitdagend spel waarin iemand anderen provoceert om hem of haar te beperken of te controleren.</t>
  </si>
  <si>
    <t>79, 80</t>
  </si>
  <si>
    <t>Kijk Mama, Met Losse Handen</t>
  </si>
  <si>
    <t>Een spel van roekeloosheid of overmoed, waarbij iemand risico's neemt om indruk te maken of aandacht te krijgen.</t>
  </si>
  <si>
    <t>43, 46</t>
  </si>
  <si>
    <t>Laten Wij Eens Bedenken</t>
  </si>
  <si>
    <t>Een spel van gezamenlijke besluitvorming of brainstormen, mogelijk met een ondertoon van manipulatie of sturing.</t>
  </si>
  <si>
    <t>Laten Wij Jopie Eens Neppen</t>
  </si>
  <si>
    <t>Een spel waarin een persoon of groep samenkomt om iemand anders voor de gek te houden of te misleiden.</t>
  </si>
  <si>
    <t>128, 137, 144, 145</t>
  </si>
  <si>
    <t>Lekker Op Schoot</t>
  </si>
  <si>
    <t>Kan duiden op een spel van intimiteit of afhankelijkheid, waarbij iemand de nabijheid en comfort van een ander zoekt.</t>
  </si>
  <si>
    <t>Mannenpraatjes</t>
  </si>
  <si>
    <t>Een spel van typisch 'mannelijke' conversaties, waarbij het kan gaan om opscheppen, roddelen, of andere sociale dynamieken.</t>
  </si>
  <si>
    <t>Martini</t>
  </si>
  <si>
    <t>Mogelijk een spel dat zich afspeelt in sociale drinkgelegenheden, waarbij alcohol een rol speelt in de interacties.</t>
  </si>
  <si>
    <t>43, 74, 80</t>
  </si>
  <si>
    <t>Meisjes Vinden</t>
  </si>
  <si>
    <t>Een spel van flirten of het zoeken naar romantische of seksuele partners, typisch in een jongerencontext.</t>
  </si>
  <si>
    <t>Museum</t>
  </si>
  <si>
    <t>Een spel dat kan duiden op interacties in een culturele of intellectuele setting, mogelijk met elementen van pretentie of vertoning.</t>
  </si>
  <si>
    <t>Wilschok, Tante</t>
  </si>
  <si>
    <t>Neem d'r Eentje</t>
  </si>
  <si>
    <t>Een spel van sociale druk of aanmoediging om te drinken, vaak in een groepscontext of bij sociale gelegenheden.</t>
  </si>
  <si>
    <t>Nu Heb Ik Je Ellendeling</t>
  </si>
  <si>
    <t>Een val zetten voor iemand en dan triomferen als de ander in de val trapt.</t>
  </si>
  <si>
    <t>63, 72, 82, 84-87, 100, 153</t>
  </si>
  <si>
    <t>Ontsnapping</t>
  </si>
  <si>
    <t>Een spel waarbij iemand probeert te ontsnappen uit een situatie, relatie of verantwoordelijkheid.</t>
  </si>
  <si>
    <t>Ooit Geweest</t>
  </si>
  <si>
    <t>Een spel van nostalgie of het idealiseren van het verleden.</t>
  </si>
  <si>
    <t>42, 43, 45</t>
  </si>
  <si>
    <t>Oudercommissie</t>
  </si>
  <si>
    <t>Kan duiden op een spel binnen oudergroepen of scholen, vaak gericht op macht, invloed of sociale dynamiek.</t>
  </si>
  <si>
    <t>42-46, 64, 119, 153</t>
  </si>
  <si>
    <t>Oud-Strijder</t>
  </si>
  <si>
    <t>Een spel waarin iemand voortdurend verwijst naar zijn of haar verleden, vooral naar vroegere successen of strijd.</t>
  </si>
  <si>
    <t>Perversie</t>
  </si>
  <si>
    <t>Een spel dat draait om abnormale of sociaal onaanvaardbare seksuele gedragingen.</t>
  </si>
  <si>
    <t>127-129</t>
  </si>
  <si>
    <t>Polychirurgie</t>
  </si>
  <si>
    <t>Kan een spel zijn van herhaalde medische ingrepen, mogelijk als aandachtzoekend gedrag.</t>
  </si>
  <si>
    <t>63, 64, 113</t>
  </si>
  <si>
    <t>Polikliniek</t>
  </si>
  <si>
    <t>Een spel dat zich afspeelt in een medische setting, mogelijk gericht op ziekterollen of interacties met zorgverleners.</t>
  </si>
  <si>
    <t>Probeer Maar Te Innen</t>
  </si>
  <si>
    <t>Een spel van schulden en pogingen om geld of goederen terug te vorderen.</t>
  </si>
  <si>
    <t>81-83</t>
  </si>
  <si>
    <t>Probeer 't 'm Te Lappen</t>
  </si>
  <si>
    <t>Een spel van misleiding of het oplichten van iemand.</t>
  </si>
  <si>
    <t>82, 83</t>
  </si>
  <si>
    <t>Psychiatrie</t>
  </si>
  <si>
    <t>Kan een spel zijn dat zich afspeelt in de context van geestelijke gezondheidszorg, met bijbehorende rollen en dynamieken.</t>
  </si>
  <si>
    <t>42-44, 63, 64, 104, 106, 143, 147, 153, 161-164, 180, 184</t>
  </si>
  <si>
    <t>Psychoanalyses</t>
  </si>
  <si>
    <t>Een spel gerelateerd aan diepgaande zelfanalyse of therapeutische interacties.</t>
  </si>
  <si>
    <t>147, 161</t>
  </si>
  <si>
    <t>Raadsman</t>
  </si>
  <si>
    <t>Een spel waarbij iemand de rol van adviseur of expert op zich neemt, vaak met een ondertoon van superioriteit.</t>
  </si>
  <si>
    <t>171, 175, 176</t>
  </si>
  <si>
    <t>Rechtszaal</t>
  </si>
  <si>
    <t>Een spel dat zich afspeelt in een juridische context, met machtsdynamieken en conflicten.</t>
  </si>
  <si>
    <t>92, 96-98, 106, 110, 133, 136, 141</t>
  </si>
  <si>
    <t>Riksja</t>
  </si>
  <si>
    <t>Kan een spel zijn van dienstbaarheid of onderdanigheid, waarbij iemand zichzelf 'wegcijfert'.</t>
  </si>
  <si>
    <t>Schatje</t>
  </si>
  <si>
    <t>Een spel van intimiteit en affectie, vaak met een ondertoon van bezitterigheid of manipulatie.</t>
  </si>
  <si>
    <t>92, 97, 109, 110</t>
  </si>
  <si>
    <t>Schlemiel [Stomme Ezel]</t>
  </si>
  <si>
    <t>Een spel waarbij iemand zich voordoet als onhandig of ongelukkig, vaak om sympathie te wekken.</t>
  </si>
  <si>
    <t>61, 63, 74, 83, 110, 112, 116-118, 151, 152, 165</t>
  </si>
  <si>
    <t>Schoonheidsfout</t>
  </si>
  <si>
    <t>Een spel van perfectionisme of het benadrukken van kleine fouten in zichzelf of anderen.</t>
  </si>
  <si>
    <t>103, 112, 115, 116</t>
  </si>
  <si>
    <t>Schuldenaar</t>
  </si>
  <si>
    <t>Een spel rondom schulden en financiële verplichtingen, vaak gekenmerkt door ontwijkend gedrag.</t>
  </si>
  <si>
    <t>72, 80-83, 96</t>
  </si>
  <si>
    <t>Sla Mij Maar Jochie</t>
  </si>
  <si>
    <t>Een spel van provocatie of het uitlokken van conflict.</t>
  </si>
  <si>
    <t>Slechte Echtgenoot</t>
  </si>
  <si>
    <t>Een spel van huwelijksconflicten of disfunctionele relaties.</t>
  </si>
  <si>
    <t>Stommeling</t>
  </si>
  <si>
    <t>Een spel waarin iemand zich voordoet als minder intelligent of capabel dan hij of zij in werkelijkheid is.</t>
  </si>
  <si>
    <t>121, 147, 164-166</t>
  </si>
  <si>
    <t>Tegenwoordig</t>
  </si>
  <si>
    <t>Een spel van klagen over de huidige tijd of omstandigheden.</t>
  </si>
  <si>
    <t>112, 113, 115</t>
  </si>
  <si>
    <t>Ten Onrechte Veroordeeld</t>
  </si>
  <si>
    <t>Een slachtofferrol, waarbij iemand beweert onrechtvaardig behandeld te zijn.</t>
  </si>
  <si>
    <t>Test Uzelf</t>
  </si>
  <si>
    <t>Een spel van zelfevaluatie of uitdaging.</t>
  </si>
  <si>
    <t>104, 115</t>
  </si>
  <si>
    <t>Transactionele Analyses</t>
  </si>
  <si>
    <t>Een spel dat draait om het analyseren van interacties en gedragingen in termen van transactionele analyse.</t>
  </si>
  <si>
    <t>162, 163</t>
  </si>
  <si>
    <t>U Bent Buitengewoon Gevoelig</t>
  </si>
  <si>
    <t>Een spel van vleierij of het manipuleren van iemands ego.</t>
  </si>
  <si>
    <t>U Kunt Niets Voor Mij Doen</t>
  </si>
  <si>
    <t>Een spel van hulpeloosheid of het afwijzen van aangeboden hulp.</t>
  </si>
  <si>
    <t>Vecht Het Samen Maar Uit</t>
  </si>
  <si>
    <t>Een spel waarbij twee partijen worden aangemoedigd om hun conflict onderling op te lossen.</t>
  </si>
  <si>
    <t>63, 127, 128, 131, 133, 145</t>
  </si>
  <si>
    <t>Verkrachtertje</t>
  </si>
  <si>
    <t>Een spel met een seksueel agressieve ondertoon.</t>
  </si>
  <si>
    <t>63, 100, 124, 127, 130-133, 159, 160, 173</t>
  </si>
  <si>
    <t>Verontwaardiging</t>
  </si>
  <si>
    <t>Een spel van morele verontwaardiging of het uitdrukken van sterke afkeuring.</t>
  </si>
  <si>
    <t>130, 132</t>
  </si>
  <si>
    <t>Verslaafde</t>
  </si>
  <si>
    <t>Een spel rondom verslavingsgedrag en de gevolgen daarvan.</t>
  </si>
  <si>
    <t>Vertel Het Ze Maar Schat</t>
  </si>
  <si>
    <t>Een spel waarbij iemand een ander aanmoedigt om een verhaal of boodschap over te brengen.</t>
  </si>
  <si>
    <t>Vertel Mij Dit</t>
  </si>
  <si>
    <t>Een spel van nieuwsgierigheid of het uitlokken van informatie.</t>
  </si>
  <si>
    <t>163, 164</t>
  </si>
  <si>
    <t>Volgende Morgen</t>
  </si>
  <si>
    <t>Een spel gericht op uitstel of het vermijden van directe actie.</t>
  </si>
  <si>
    <t>43, 45, 74, 80</t>
  </si>
  <si>
    <t>Vleitaal</t>
  </si>
  <si>
    <t>Een spel van overmatige of onoprechte complimenten.</t>
  </si>
  <si>
    <t>Vrouwenpraatjes</t>
  </si>
  <si>
    <t>Een spel van typische 'vrouwelijke' conversaties, mogelijk met roddelen of sociale dynamieken.</t>
  </si>
  <si>
    <t>Vrijetijdsbesteding</t>
  </si>
  <si>
    <t>Een spel dat draait om hoe mensen hun vrije tijd besteden of vermijden.</t>
  </si>
  <si>
    <t>171, 172</t>
  </si>
  <si>
    <t>Waarom Deed Je-Nee Maar</t>
  </si>
  <si>
    <t>Een spel van uitdaging en ontkenning, waarbij iemand een ander bekritiseert en vervolgens hun verdediging afwijst.</t>
  </si>
  <si>
    <t>Waarom Doe Je Niet-Ja Maar</t>
  </si>
  <si>
    <t>Een persoon stelt een probleem voor en wijst vervolgens alle suggesties of oplossingen af met een 'ja, maar...'.</t>
  </si>
  <si>
    <t>58, 63, 105, 112, 118-126, 164, 166</t>
  </si>
  <si>
    <t>Waarom Doen Zij</t>
  </si>
  <si>
    <t>Een spel van beschuldiging en verwijt, waarbij iemand zich afvraagt waarom anderen bepaalde acties ondernemen.</t>
  </si>
  <si>
    <t>Waarom Moet Mij Dit Altijd Overkomen</t>
  </si>
  <si>
    <t>Een zelfmedelijdend spel waarin iemand zichzelf als een chronisch slachtoffer van pech of onrecht ziet.</t>
  </si>
  <si>
    <t>63, 82-84, 86, 89, 129, 151</t>
  </si>
  <si>
    <t>Wat Bent U Toch Geweldig, Meneer Hoogstraat</t>
  </si>
  <si>
    <t>Een spel van vleierij en slijmerig gedrag gericht op iemand met een hogere sociale of professionele status.</t>
  </si>
  <si>
    <t>63, 158-160, 173</t>
  </si>
  <si>
    <t>Wat Bent U Toch Geweldig, Professor</t>
  </si>
  <si>
    <t>Vergelijkbaar met "Wat Bent U Toch Geweldig, Meneer Hoogstraat", een spel van overdreven lof en bewondering, gericht op een academicus of expert.</t>
  </si>
  <si>
    <t>159, 160</t>
  </si>
  <si>
    <t>Wat Doe Je Als</t>
  </si>
  <si>
    <t>Een spel van hypothetische vragen, vaak gebruikt om reacties of besluitvorming uit te dagen of te testen.</t>
  </si>
  <si>
    <t>Wat Is Er Toch Geworden Van</t>
  </si>
  <si>
    <t>Een nostalgisch of betreurend spel waarbij iemand terugkijkt op veranderingen of verloren kansen.</t>
  </si>
  <si>
    <t>Wie Heeft Gewonnen</t>
  </si>
  <si>
    <t>Een competitief spel waarbij de nadruk ligt op winnen en verliezen, vaak in alledaagse situaties.</t>
  </si>
  <si>
    <t>Zelf-Expressie</t>
  </si>
  <si>
    <t>Een spel dat draait om het uiten van eigen gevoelens, gedachten of creativiteit, soms op een provocerende of niet-gepaste wijze.</t>
  </si>
  <si>
    <t>Zo Druk</t>
  </si>
  <si>
    <t>Een spel waarbij iemand de nadruk legt op hoe bezet of overbelast hij of zij is, vaak als excuus of om indruk te maken.</t>
  </si>
  <si>
    <t>92, 102-105</t>
  </si>
  <si>
    <t>Zoek De Zon Op</t>
  </si>
  <si>
    <t>Een spel van optimisme of het zoeken naar positieve aspecten, zelfs in moeilijke situaties.</t>
  </si>
  <si>
    <t>Zoentjes Halen</t>
  </si>
  <si>
    <t>Een spel van affectie zoeken of flirten, mogelijk met een onderliggende behoefte aan goedkeuring of aandacht.</t>
  </si>
  <si>
    <t>Zij Zijn Er Altijd Op Uit Om Je Te Nemen</t>
  </si>
  <si>
    <t>Een paranoïde of wantrouwend spel waarin iemand gelooft dat anderen constant tegen hem of haar samenzweren.</t>
  </si>
  <si>
    <t>Zij Hebben Mij Laten Stikken</t>
  </si>
  <si>
    <t>Een spel van verraad of in de steek gelaten worden, waarbij iemand het gevoel heeft dat anderen hem of haar hebben gefaald.</t>
  </si>
  <si>
    <t>Ze Zullen Blij Zijn Dat Zij Mij Gekend Hebben</t>
  </si>
  <si>
    <t>Een spel van ego of zelfverheerlijking, waarbij iemand denkt dat anderen bevoorrecht zijn hem of haar te kennen.</t>
  </si>
  <si>
    <t>171, 176</t>
  </si>
  <si>
    <t>Toepassing</t>
  </si>
  <si>
    <t>Schuld afschuiven</t>
  </si>
  <si>
    <t>De moeder van Emmy legt de schuld bij haar kinderen en echtgenoot voor de moeilijke omstandigheden waarin ze verkeert.</t>
  </si>
  <si>
    <t>De landheer gebruikt de economische afhankelijkheid van Emmy’s familie als dwangmiddel, wat overeenkomt met een vorm van economische chantage.</t>
  </si>
  <si>
    <t>Gaslighting</t>
  </si>
  <si>
    <t>De moeder ontkent subtiel Emmy's intelligentie door haar spotvraag over de "venusheuvel" en gebruikt dit om Emmy's zelfvertrouwen te ondermijnen.</t>
  </si>
  <si>
    <t>Overdrijving</t>
  </si>
  <si>
    <t>De abdis beschrijft de afwijkende leer als een “smet op het kloosterleven,” wat een buitenproportionele reactie is en Emmy’s geloof in het instituut ondermijnt.</t>
  </si>
  <si>
    <t>De vader van de jager verraadt zijn eigen zonen om zijn reputatie te redden​</t>
  </si>
  <si>
    <t>De aanval op zijn eer vanwege opmerkingen over zijn haar wordt overdreven ervaren (“was hij snel klaar”) en leidt tot extreme reactie (steekpartij).</t>
  </si>
  <si>
    <t>Stonewalling</t>
  </si>
  <si>
    <t>Hij sluit zich letterlijk en figuurlijk af van de buitenwereld met muren, poorten en isolatie, waardoor communicatie wordt verhinderd.</t>
  </si>
  <si>
    <t>Fetisjisme</t>
  </si>
  <si>
    <t>Voyeurisme</t>
  </si>
  <si>
    <t xml:space="preserve">Idolisatie </t>
  </si>
  <si>
    <t>Dominantie</t>
  </si>
  <si>
    <t>Ingredient</t>
  </si>
  <si>
    <t>Toelichting</t>
  </si>
  <si>
    <t>Geboden</t>
  </si>
  <si>
    <t>Vereer naast mij geen andere goden.</t>
  </si>
  <si>
    <t>Houd de sabbat in ere, het is een heilige dag.</t>
  </si>
  <si>
    <t>Toon eerbied voor uw vader en uw moeder</t>
  </si>
  <si>
    <t>Pleeg geen moord.</t>
  </si>
  <si>
    <t>Pleeg geen overspel.</t>
  </si>
  <si>
    <t>Steel niet.</t>
  </si>
  <si>
    <t>Leg over een ander geen vals getuigenis af.</t>
  </si>
  <si>
    <t>Bergen</t>
  </si>
  <si>
    <t>Mount Hira</t>
  </si>
  <si>
    <t>Islam: De berg waar de profeet Mohammed zijn eerste openbaring van de engel Gabriel ontving, wat het begin van de Islam markeert.</t>
  </si>
  <si>
    <t>Mount Kailash</t>
  </si>
  <si>
    <t>Hindoeïsme: Beschouwd als de woning van de god Shiva, waarbij het rondlopen van de berg wordt gezien als een middel voor het zuiveren van zonden en het bereiken van moksha (bevrijding van de cyclus van leven en dood).</t>
  </si>
  <si>
    <t>Boeddhisme: Beschouwd als het centrum van het fysieke, metafysische en spirituele universum in boeddhistische tradities, symboliseert de structuur van het universum en het pad naar verlichting.</t>
  </si>
  <si>
    <t>Mount Tai</t>
  </si>
  <si>
    <t>Taoïsme: Als een van de Vijf Grote Bergen in het taoïsme, symboliseert Mount Tai de harmonie tussen yin en yang en de verbinding tussen de hemel en de aarde.</t>
  </si>
  <si>
    <t>Hemkund Sahib</t>
  </si>
  <si>
    <t>Sikhisme: Een plaats waar Guru Gobind Singh, de tiende Sikh Goeroe, wordt gezegd te hebben gemediteerd in zijn vorige leven, wat de kracht van meditatie en de reis naar spirituele verlichting symboliseert.</t>
  </si>
  <si>
    <t>Mount Sinai</t>
  </si>
  <si>
    <t>Jodendom: De plaats waar God volgens de traditie de Tien Geboden aan Mozes gaf, wat een fundamenteel moment in het Jodendom markeert.</t>
  </si>
  <si>
    <t>Mount Demavand</t>
  </si>
  <si>
    <t>Zoroastrisme: Een belangrijk figuur in de Perzische mythologie en folklore, deze berg is de plaats waar Zahhak, de kwaadaardige figuur in de Shahnameh, is geketend, wat de overwinning van goed over kwaad symboliseert.</t>
  </si>
  <si>
    <t xml:space="preserve">Shatrunjaya </t>
  </si>
  <si>
    <t>Jaïnisme: In het Jaïnisme symboliseert de heilige berg Shatrunjaya het pad naar spirituele zuivering en verlichting, door fysieke inspanning en ascese te omarmen om wereldse verlangens te overwinnen en karmische banden te verbreken.</t>
  </si>
  <si>
    <t>Mount Olympus</t>
  </si>
  <si>
    <t>Hellenisme: In de oude Griekse mythologie, de woonplaats van de twaalf Olympische goden, symboliseert het de goddelijke aanwezigheid en de verbinding tussen de aarde en de hemel.</t>
  </si>
  <si>
    <t>Mantra</t>
  </si>
  <si>
    <t>Om doet de trots verdwijnen, het zuivert de hemels van de goden,</t>
  </si>
  <si>
    <t>Ma doet de jaloerse woede verdwijnen, het zuivert het rijk van de halfgoden,</t>
  </si>
  <si>
    <t>Ni doet de begeerte verdwijnen, het zuivert de wereld van de mensen,</t>
  </si>
  <si>
    <t>Pa</t>
  </si>
  <si>
    <t>Pa doet de domheid verdwijnen, het zuivert het woongebied van de dieren,</t>
  </si>
  <si>
    <t>Dme doet de hebzucht verdwijnen, het zuivert de landen van de hongerige geesten,</t>
  </si>
  <si>
    <t>Hum doet de haat verdwijnen, het zuivert de hellen</t>
  </si>
  <si>
    <t>Kosmische Wetten</t>
  </si>
  <si>
    <t>Law of Divine Oneness</t>
  </si>
  <si>
    <t>Everything in the universe is connected. Our thoughts, actions, and words affect the world and the universe around us.</t>
  </si>
  <si>
    <t>Law of Vibration</t>
  </si>
  <si>
    <t>Everything in the universe moves and vibrates at different frequencies. Our thoughts and feelings also have their own unique frequencies.</t>
  </si>
  <si>
    <t>Law of Correspondence</t>
  </si>
  <si>
    <t>The principles or laws of physics that explain the physical world - energy, light, vibration, and motion - have their corresponding principles in the etheric or universe.</t>
  </si>
  <si>
    <t>Betekenis</t>
  </si>
  <si>
    <t>Law of Attraction</t>
  </si>
  <si>
    <t>Our thoughts, feelings, words, and actions produce energies which, in turn, attract like energies. Negative energies attract negative energies and positive energies attract positive energies.</t>
  </si>
  <si>
    <t>Law of Inspired Action</t>
  </si>
  <si>
    <t>Dreams and desires alone are not enough to manifest what we want. We must take inspired action towards our desires.</t>
  </si>
  <si>
    <t>:</t>
  </si>
  <si>
    <t>De berg waar de profeet Mohammed zijn eerste openbaring van de engel Gabriel ontving, wat het begin van de Islam markeert.</t>
  </si>
  <si>
    <t>Law of Transmutation of Energy</t>
  </si>
  <si>
    <t>All people have within them the power to change the conditions in their lives. Higher vibrations consume and transform lower ones; thus, each of us can change the energies in our lives by understanding the Universal Laws and applying the principles in such a way as to effect change.</t>
  </si>
  <si>
    <t>Hindoeïsme</t>
  </si>
  <si>
    <t>Beschouwd als de woning van de god Shiva, waarbij het rondlopen van de berg wordt gezien als een middel voor het zuiveren van zonden en het bereiken van moksha (bevrijding van de cyclus van leven en dood).</t>
  </si>
  <si>
    <t>Law of Cause and Effect</t>
  </si>
  <si>
    <t>Nothing happens by chance or outside the Universal Laws. Every action has a reaction or consequence and we "reap what we have sown."</t>
  </si>
  <si>
    <t>Beschouwd als het centrum van het fysieke, metafysische en spirituele universum in boeddhistische tradities, symboliseert de structuur van het universum en het pad naar verlichting.</t>
  </si>
  <si>
    <t>Law of Compensation</t>
  </si>
  <si>
    <t>This is the law of cause and effect applied to blessings and abundance that are provided for us. The visible effects of our deeds are given to us in gifts, money, inheritances, friendships, and blessings.</t>
  </si>
  <si>
    <t>Taoïsme</t>
  </si>
  <si>
    <t>Als een van de Vijf Grote Bergen in het taoïsme, symboliseert Mount Tai de harmonie tussen yin en yang en de verbinding tussen de hemel en de aarde.</t>
  </si>
  <si>
    <t>Law of Relativity</t>
  </si>
  <si>
    <t>Each person will receive a series of problems (Tests of Initiation) for the purpose of strengthening the light within. We must consider each of these tests to be a challenge and remain connected to our hearts when proceeding to solve the problems.</t>
  </si>
  <si>
    <t>Sikhisme</t>
  </si>
  <si>
    <t>Een plaats waar Guru Gobind Singh, de tiende Sikh Goeroe, wordt gezegd te hebben gemediteerd in zijn vorige leven, wat de kracht van meditatie en de reis naar spirituele verlichting symboliseert.</t>
  </si>
  <si>
    <t>Law of Polarity</t>
  </si>
  <si>
    <t>Everything is on a continuum and has an opposite. We can suppress and transform undesirable thoughts by concentrating on the opposite pole. It is the law of mental vibrations.</t>
  </si>
  <si>
    <t>Jodendom</t>
  </si>
  <si>
    <t>De plaats waar God volgens de traditie de Tien Geboden aan Mozes gaf, wat een fundamenteel moment in het Jodendom markeert.</t>
  </si>
  <si>
    <t>Law of Rhythm</t>
  </si>
  <si>
    <t>Everything vibrates and moves to certain rhythms. These rhythms establish seasons, cycles, stages of development, and patterns. Each cycle reflects the regularity of God's universe.</t>
  </si>
  <si>
    <t>Zoroastrisme</t>
  </si>
  <si>
    <t>Een belangrijk figuur in de Perzische mythologie en folklore, deze berg is de plaats waar Zahhak, de kwaadaardige figuur in de Shahnameh, is geketend, wat de overwinning van goed over kwaad symboliseert.</t>
  </si>
  <si>
    <t>Law of Gender</t>
  </si>
  <si>
    <t>This law states that everything has its masculine (yang) and feminine (yin) principles, and that these are the basis for all creation. We must balance the masculine and feminine energies within ourselves to become a master and a true co-creator with God.</t>
  </si>
  <si>
    <t xml:space="preserve">Jaïnisme </t>
  </si>
  <si>
    <t>In het Jaïnisme symboliseert de heilige berg Shatrunjaya het pad naar spirituele zuivering en verlichting, door fysieke inspanning en ascese te omarmen om wereldse verlangens te overwinnen en karmische banden te verbreken.</t>
  </si>
  <si>
    <t>November</t>
  </si>
  <si>
    <t>Svenska ontmoet Profeet</t>
  </si>
  <si>
    <t>Profeet naar herberg/bordeel</t>
  </si>
  <si>
    <t>December</t>
  </si>
  <si>
    <t>Januari</t>
  </si>
  <si>
    <t>Februari</t>
  </si>
  <si>
    <t>Heidi ontvoerd</t>
  </si>
  <si>
    <t>Maart</t>
  </si>
  <si>
    <t>April</t>
  </si>
  <si>
    <t>Mei</t>
  </si>
  <si>
    <t>Juni</t>
  </si>
  <si>
    <t>Jager ontdekt Svenska</t>
  </si>
  <si>
    <t>Juli</t>
  </si>
  <si>
    <t>Augustus</t>
  </si>
  <si>
    <t>Installatieceremonie van von Plettenberg</t>
  </si>
  <si>
    <t>von Plettenberg reist af naar de 'Landheer'</t>
  </si>
  <si>
    <t>von Plettenberg arriveert op het landgoed van de 'Landheer'</t>
  </si>
  <si>
    <t>von Plettenberg ontmoet 'Profeet'</t>
  </si>
  <si>
    <t>September</t>
  </si>
  <si>
    <t>von Plettenberg wijst Landheer terecht op relatie met Moeder</t>
  </si>
  <si>
    <t>Moeder wordt ondergebracht in herberg.</t>
  </si>
  <si>
    <t>Oktober</t>
  </si>
  <si>
    <t>Svenska vangt de Jager</t>
  </si>
  <si>
    <t>Sexles door profeet</t>
  </si>
  <si>
    <t>Jeanne ontmoet de sekte en profeet</t>
  </si>
  <si>
    <t>Jeanne begint relatie met profeet</t>
  </si>
  <si>
    <t>Land vertrekt voor vergadering Liga van Augsburg</t>
  </si>
  <si>
    <t>Moeder verleid de profeet</t>
  </si>
  <si>
    <t>Moeder raakt  zwanger van de profeet</t>
  </si>
  <si>
    <t>Landheer terug van overleg Liga van Augsburg en is intiem met Moeder</t>
  </si>
  <si>
    <t>Moeder bezoekt haar zus</t>
  </si>
  <si>
    <t>Moeder weet dat ze zwanger is</t>
  </si>
  <si>
    <t>Fictieve huwelijksdatum Moeder en Stiefvader</t>
  </si>
  <si>
    <t>Moeder trouwt Stiefvader</t>
  </si>
  <si>
    <t>Convocatie over de profeet zijn leer</t>
  </si>
  <si>
    <t>Profeet vergiftigd Maximiliaan Hendrik van Beieren</t>
  </si>
  <si>
    <t>Overlijden van Maximiliaan Hendrik van Beieren</t>
  </si>
  <si>
    <t>Begin Negenjarige oorlog</t>
  </si>
  <si>
    <t>Moeder bevalt van Emma</t>
  </si>
  <si>
    <t>Canto's</t>
  </si>
  <si>
    <t>(Re)incarnatie</t>
  </si>
  <si>
    <t>Maand</t>
  </si>
  <si>
    <t>Gebeurtenis</t>
  </si>
  <si>
    <t>Maria wordt verwerkt</t>
  </si>
  <si>
    <t>Maria gaat het klooster in als oblaat als ze zeven wordt</t>
  </si>
  <si>
    <t>Moeder van Maria pleegt zelfmoord</t>
  </si>
  <si>
    <t>Maria werd novice</t>
  </si>
  <si>
    <t>Maria werd non</t>
  </si>
  <si>
    <t>Maria wordt ontmaagd door de tuinman die ze vals beschuldigd van verkrachting.</t>
  </si>
  <si>
    <t>Martino sterft op het dodenuur</t>
  </si>
  <si>
    <t>Geboorte van de jager, hoort dus op zijn 70's verjaardag dat Emmy zwanger is als symbool voor volledigheid en voltooiing.</t>
  </si>
  <si>
    <t>Geboorte van de stiefvader, later gekozen als officiele huwelijksdag</t>
  </si>
  <si>
    <t>Geboorte van Tante</t>
  </si>
  <si>
    <t>Geboorte landheer</t>
  </si>
  <si>
    <t>Jager krijgt een kijkdoos van zijn vader</t>
  </si>
  <si>
    <t>Ouders landheer sterven na hongersood na belegering. Regent neemt de voogdij over.</t>
  </si>
  <si>
    <t>Broers vluchten naar Duitsland</t>
  </si>
  <si>
    <t>Geboorte van Moeder, kind van Tante</t>
  </si>
  <si>
    <t>Tante trouwt met Oom</t>
  </si>
  <si>
    <t>Landheer bouwt 'Landkwaad' na hongersdood ouders</t>
  </si>
  <si>
    <t>Tante bevalt van een zoon</t>
  </si>
  <si>
    <t>Jager wordt gevraagd om in het leger te dienen voor de Hollandse oorlog , maar laat de schiettest bewust mislukken</t>
  </si>
  <si>
    <t>Profeet gaat als scheepsarts mee naar India, Puducherry en ontmoet daar een hindoeistische goeroe</t>
  </si>
  <si>
    <t>Profeet vlucht naar Duitsland en werkt als clown die profetisch is</t>
  </si>
  <si>
    <t>Landheer ontmoet 'Moeder' op de markt</t>
  </si>
  <si>
    <t>Svenska ontmoet de profeet</t>
  </si>
  <si>
    <t>Svenska brengt de profeet naar de herberg c.q. bordeel van de landheer</t>
  </si>
  <si>
    <t>Profeet manifisteert zich als profeet</t>
  </si>
  <si>
    <t>Jager ontdekt Svenska en besluit haar te bespieden op Sint-Jansdag.</t>
  </si>
  <si>
    <t>Friedrich Christian von Plettenberg wordt benoemd als vicaris-generaal</t>
  </si>
  <si>
    <t>Installatie (Eed van Trouw,  Zegeningsceremonie, Processie, Communie) van Friedrich Christian von Plettenberg als vicaris-generaal</t>
  </si>
  <si>
    <t>Reis van Friedrich Christian von Plettenberg per koets naar het landgoed van de 'Landheer' om de sekte te controleren als officieuze taak</t>
  </si>
  <si>
    <t>Reis van Friedrich Christian von Plettenberg naar het landgoed van de 'Landheer'</t>
  </si>
  <si>
    <t>Friedrich Christian von Plettenberg ontmoet de 'Profeet' en deelt zijn missie om hem en de sekte te beoordelen.</t>
  </si>
  <si>
    <t>Friedrich Christian von Plettenberg spreek 'Landheer' aan op zijn relatie met 'Moeder'.</t>
  </si>
  <si>
    <t>De 'Landheer' brengt 'Moeder' onder op de herberg op zijn landgoed als dienstmeid.</t>
  </si>
  <si>
    <t>Svenska vangt de Jager op Allerheiligenavond, maar laat hem in leven en begint een relatie</t>
  </si>
  <si>
    <t>Jager en Svenska krijgen van de profeet les als sexcoach waarbij de profeet Svenska neukt.</t>
  </si>
  <si>
    <t>Jeanne komt via de Jager in contact met de sekte en de profeet</t>
  </si>
  <si>
    <t>Jeanne deelt het bed met de profeet nadat die verraad dat de jager vreemd gaat met Svenska</t>
  </si>
  <si>
    <t>Profeet houdt zijn bergrede voor 7 apostelen en vele kerkgangers</t>
  </si>
  <si>
    <t>Landheer vertrekt voor vergadering Liga van Augsburg vanwege de dreiging van een Franse expansie.</t>
  </si>
  <si>
    <t>Moeder verleid de Profeet meerdere malen na hem dronken te hebben gevoerd.</t>
  </si>
  <si>
    <t>Moeder raakt zwanger van de Profeet op de Heilige Polycarpus van Smyrna.</t>
  </si>
  <si>
    <t>De Landheer komt terug van de vergadering van de Liga van Augsburg en is intiem met moeder, die dit inzet als de datum van haar bevruchting.</t>
  </si>
  <si>
    <t>Moeder bezoekt haar zus op haar naamdag (Ethelwald van Farne).</t>
  </si>
  <si>
    <t>Moeder vermoed dat ze zwanger is van de Profeet op de Maria Boodschap</t>
  </si>
  <si>
    <t>Fictieve trouwdag van Moeder met Stiefvader op Heilige Lidwina en zijn verjaardag na manipulatie door de klerk</t>
  </si>
  <si>
    <t>Moeder trouwt men Stiefvader en de landheer neemt haar als herenrecht op de dag van het feest van Isidorus de Landman.</t>
  </si>
  <si>
    <t>Profeet is uitgenodigd voor de Convocatie over zijn leer.</t>
  </si>
  <si>
    <t>Profeet vergiftigd Maximiliaan Hendrik van Beieren door kruid van Jeanne</t>
  </si>
  <si>
    <t>Moeder bevalt van Emma op de feestdag van de Heilige Lucia (Boogschutter)</t>
  </si>
  <si>
    <t>Franse soldaten zijn op 'Landkwaad' gedurende de Negenjarige Oorlog (1688–1697)</t>
  </si>
  <si>
    <t>’Messing‘ trouwt ’Klerk‘ als begin van een nieuw seizoen (herfst) en een fase van verval.</t>
  </si>
  <si>
    <t>Vader kan de pacht niet betalen en de landheer komt verhaal halen door Moeder te bevruchten op de lente-equinox.</t>
  </si>
  <si>
    <t>Moeder bevalt van Emmy (Schorpioen)</t>
  </si>
  <si>
    <t>Emma gaat naar dorpsschool en klooster</t>
  </si>
  <si>
    <t>Bisschop benoemt 'Messing' tot abdis op de dag van grappen en bedrog.</t>
  </si>
  <si>
    <t>Emmy bezoekt voor het eerst het klooster voor onderwijs op de dag van de geboorte van de moeder van Jezus (zuiverheid, wijsheid en een spirituele reis).</t>
  </si>
  <si>
    <t>Zoon van Tante wordt kapelaan</t>
  </si>
  <si>
    <t>Emma ontmaagd door een boerenknul</t>
  </si>
  <si>
    <t>Overlijden van koning-stadhouder Willem III van Oranje, die Lingen bezat, dat overgaat naar Frederik I van Pruisen</t>
  </si>
  <si>
    <t>Emmy en 'Huisvoogd' grappen met de Abdis op de dag van grappen en bedrog.</t>
  </si>
  <si>
    <t>Emmy maakt een sexueel intredingsritueel mee op het klooster</t>
  </si>
  <si>
    <t>Emma komt te weten dat haar werkelijke vader de landheer is</t>
  </si>
  <si>
    <t>Pesters vangen Emmy en trekken zich op haar af op zomerzonnewende.</t>
  </si>
  <si>
    <t>Emmy bezoekt een grieperige tante na vele jaren</t>
  </si>
  <si>
    <t>Pester wordt terechtgesteld.</t>
  </si>
  <si>
    <t>Gezin van Emmy wordt lijfeigenen</t>
  </si>
  <si>
    <t>Emma en 'Moeder' ontbonden naar landgoed van de landheer</t>
  </si>
  <si>
    <t>Emma wordt vrijwillig een hoer in het bordeel van de landheer</t>
  </si>
  <si>
    <t>Emma schrijft aan Emmy haar eerste brief</t>
  </si>
  <si>
    <t>Pa geeft achtergehouden brieven mee aan tante</t>
  </si>
  <si>
    <t>Emmy vlucht op Eerste Pinksterdag</t>
  </si>
  <si>
    <t>Emmy duikt onder bij oom en tante</t>
  </si>
  <si>
    <t>Emmy verlaat haar 'Tante' op de Maria Tenhemelopneming en vlucht het veengebied in.</t>
  </si>
  <si>
    <t>Stiefvader zoekt zijn broer de Jager na 22 jaar op en vraagt hem om Emmy te zoeken nu ze niet meer bij haar tante is.</t>
  </si>
  <si>
    <t xml:space="preserve">Emmy verleid een jonkheer, die als mensenjager opereert en haar op het feest van Johannes de Doper vangt, maar wordt gedood na hun verloving. </t>
  </si>
  <si>
    <t>Emmy ontmoet de vogelvrijen op het hoogfeest van Petrus en Paulus en sluit zich aan.</t>
  </si>
  <si>
    <t>Jager vertrekt uit zijn stad waar Sint Maarten wordt voorbereid</t>
  </si>
  <si>
    <t>Jager instaleert zichzelf in zijn jagershut</t>
  </si>
  <si>
    <t>Jager begluurt Emmy die zich ontkleed en gaat zwemmen in een ven</t>
  </si>
  <si>
    <t>Jager herkent Emmy op basis van de gouden ketting en initialen</t>
  </si>
  <si>
    <t>Jager sluipt naar Emmy die zich bespied voelt en de ven verlaat.</t>
  </si>
  <si>
    <t>Jager vangt Emmy en inspecteert haar.</t>
  </si>
  <si>
    <t>Jager kijkt naar de kut van Emmy op het hoogtepunt van de dag</t>
  </si>
  <si>
    <t>Emmy raakt in een wilschok</t>
  </si>
  <si>
    <t>Emmy ontwaakt en ontwikkelt moed haar angsten te omarmen</t>
  </si>
  <si>
    <t>Emmy keert terug uit vorig leven ervaring</t>
  </si>
  <si>
    <t>Emmy bedenkt denkbrief</t>
  </si>
  <si>
    <t>Jager zegt dat hij Emmy Nativus als vogelvrije herkent (terwijl hij dat al eerder had gedaan)</t>
  </si>
  <si>
    <t>Jager vingert Emmy als ze naast hem zit</t>
  </si>
  <si>
    <t>‘Jager’ ontmaagd Emmy op het spiegeluur van transformatie</t>
  </si>
  <si>
    <t>Het begint te regenen</t>
  </si>
  <si>
    <t>Zon gaat onder</t>
  </si>
  <si>
    <t>Intocht in Pandemonium</t>
  </si>
  <si>
    <t>‘Priester’ bevrucht Emmy</t>
  </si>
  <si>
    <t>Emmy bootst Svenska's gedrag na</t>
  </si>
  <si>
    <t>‘Jager’ brengt Heidi in de stal met Emmy</t>
  </si>
  <si>
    <t>Heidi wordt door de ‘Jager’ afgevoerd naar de kerk</t>
  </si>
  <si>
    <t>Emmy wordt door de ‘Jager’ afgevoerd naar de kerk</t>
  </si>
  <si>
    <t>Zondag: Begin van de Advent.</t>
  </si>
  <si>
    <t>Jeanne  als vroedvrouwstelt op verjaardag van de jager op het uur van genade vast dat Emmy zwanger is als cadeau.</t>
  </si>
  <si>
    <t>Emmy wordt op pakjesavond vrijgesteld van beperkingen</t>
  </si>
  <si>
    <t>Heidi wordt gewurgd door de ‘Schout’</t>
  </si>
  <si>
    <t>Sophia wordt veroordeeld door de ‘Rechter’</t>
  </si>
  <si>
    <t>Dood Emmy op 33 jarige leeftijd (net als Jezus)</t>
  </si>
  <si>
    <t>Eli bereikt verlichting bij dageraad.</t>
  </si>
  <si>
    <t>Ontvoerd en bevrucht</t>
  </si>
  <si>
    <t>Heidi kerk</t>
  </si>
  <si>
    <t>Sadeqaat</t>
  </si>
  <si>
    <t>Schoonmaak</t>
  </si>
  <si>
    <t>Emmy kerk</t>
  </si>
  <si>
    <t>Sleutel</t>
  </si>
  <si>
    <t xml:space="preserve">Zwanger </t>
  </si>
  <si>
    <t>Vrijgesteld</t>
  </si>
  <si>
    <t>Dood Heidi</t>
  </si>
  <si>
    <t>Dood Sophia</t>
  </si>
  <si>
    <t>Kerstavond</t>
  </si>
  <si>
    <t>Kerstnacht</t>
  </si>
  <si>
    <t>Administratie</t>
  </si>
  <si>
    <t>Emmy in huis</t>
  </si>
  <si>
    <t>Dood Jeanne</t>
  </si>
  <si>
    <t xml:space="preserve">
DAGSCHEMA</t>
  </si>
  <si>
    <t xml:space="preserve">Week van:
</t>
  </si>
  <si>
    <t>9-11-1711</t>
  </si>
  <si>
    <t>De haan kraait</t>
  </si>
  <si>
    <t>Zon op</t>
  </si>
  <si>
    <t>Wassen</t>
  </si>
  <si>
    <t>Jager vertrekt</t>
  </si>
  <si>
    <t>Jager vaginaal</t>
  </si>
  <si>
    <t>Jager in hut</t>
  </si>
  <si>
    <t>Emmy zwemt</t>
  </si>
  <si>
    <t>Emmy gevangen</t>
  </si>
  <si>
    <t>Jager neukt beiden</t>
  </si>
  <si>
    <t>Jager pijpen</t>
  </si>
  <si>
    <t>Jager anaal</t>
  </si>
  <si>
    <t>13:13 Jager vaginaal</t>
  </si>
  <si>
    <t>Terugreis</t>
  </si>
  <si>
    <t>Regen</t>
  </si>
  <si>
    <t>Zon onder</t>
  </si>
  <si>
    <t>Heidi naar kerk</t>
  </si>
  <si>
    <t>De kerk</t>
  </si>
  <si>
    <t>Dienst</t>
  </si>
  <si>
    <t>Heidi met de jager</t>
  </si>
  <si>
    <t>Jager neukt Heidi</t>
  </si>
  <si>
    <t>De priester bevrucht</t>
  </si>
  <si>
    <t>Legenda</t>
  </si>
  <si>
    <t>Van</t>
  </si>
  <si>
    <t>Tot</t>
  </si>
  <si>
    <t>Duur</t>
  </si>
  <si>
    <t>Leven van Emmy</t>
  </si>
  <si>
    <t>Leven van Emma</t>
  </si>
  <si>
    <t>Leven van Svenska</t>
  </si>
  <si>
    <t>Leven van Agape</t>
  </si>
  <si>
    <t>Bisschop 1</t>
  </si>
  <si>
    <t>Friedrich Christian von Plettenberg bisschop van Münster</t>
  </si>
  <si>
    <t>Bisschop 2</t>
  </si>
  <si>
    <t>Franz Arnold von Wolff-Metternich zur Gracht bisschop van Münster</t>
  </si>
  <si>
    <t>Bisschop 3</t>
  </si>
  <si>
    <t>Clemens August van Beieren bisschop van Münster</t>
  </si>
  <si>
    <t>Grootschalig conflict tussen katholieke en protestantse staten</t>
  </si>
  <si>
    <t>Hollandse Oorlog</t>
  </si>
  <si>
    <t>Frankrijk viel de Republiek der Zeven Verenigde Nederlanden aan</t>
  </si>
  <si>
    <t>Negenjarige Oorlog</t>
  </si>
  <si>
    <t>Een oorlog tussen Frankrijk en een coalitie van Europese mogendheden</t>
  </si>
  <si>
    <t>Successieoorlog</t>
  </si>
  <si>
    <t>Conflict over de opvolging van de Spaanse troon</t>
  </si>
  <si>
    <t>Noorse oorlog</t>
  </si>
  <si>
    <t>Zweden verliest o.a. Hertogdom Bremen-Verden in 01-10-1712</t>
  </si>
  <si>
    <t>Aantal</t>
  </si>
  <si>
    <t>WC, Slapen</t>
  </si>
  <si>
    <t>Ochtendbiecht</t>
  </si>
  <si>
    <t>Ochtendmis</t>
  </si>
  <si>
    <t>Ochtendcommunie</t>
  </si>
  <si>
    <t>WC en verzorging</t>
  </si>
  <si>
    <t>Schoonmaken</t>
  </si>
  <si>
    <t>WC, Eten en opmaken</t>
  </si>
  <si>
    <t>VIP</t>
  </si>
  <si>
    <t>Avondbiecht</t>
  </si>
  <si>
    <t>Massage</t>
  </si>
  <si>
    <t>Avondmis</t>
  </si>
  <si>
    <t>Avondcommunie</t>
  </si>
  <si>
    <t>Biecht</t>
  </si>
  <si>
    <t>Mis</t>
  </si>
  <si>
    <t>Lozing</t>
  </si>
  <si>
    <t>Overhead</t>
  </si>
  <si>
    <t>Weekbehoefte</t>
  </si>
  <si>
    <t>Klantenkring</t>
  </si>
  <si>
    <t>92.4</t>
  </si>
  <si>
    <t>Weekvervulling</t>
  </si>
  <si>
    <t>Dieners</t>
  </si>
  <si>
    <t>Mannen</t>
  </si>
  <si>
    <t>Fysiek</t>
  </si>
  <si>
    <t>Monogamie</t>
  </si>
  <si>
    <t>40.00%</t>
  </si>
  <si>
    <t>Financieel</t>
  </si>
  <si>
    <t>Duogamie</t>
  </si>
  <si>
    <t>10.00%</t>
  </si>
  <si>
    <t>Kerst</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</si>
</sst>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quot;  &quot;yyyy"/>
    <numFmt numFmtId="165" formatCode="d&quot;-&quot;m"/>
    <numFmt numFmtId="166" formatCode="d-m-yyyy h:mm"/>
    <numFmt numFmtId="167" formatCode="d&quot;-&quot;m&quot;-&quot;yyyy&quot; &quot;h&quot;:&quot;mm"/>
    <numFmt numFmtId="168" formatCode="d-m"/>
    <numFmt numFmtId="169" formatCode="d-m-yyyy h:mm:ss"/>
    <numFmt numFmtId="170" formatCode="##########"/>
    <numFmt numFmtId="171" formatCode="d-m-yyyy"/>
    <numFmt numFmtId="172" formatCode="dd-mm-yyyy"/>
    <numFmt numFmtId="173" formatCode="d-M-yyyy"/>
    <numFmt numFmtId="174" formatCode="m&quot;/&quot;d"/>
    <numFmt numFmtId="175" formatCode="dd&quot;-&quot;mm"/>
    <numFmt numFmtId="176" formatCode="h&quot;:&quot;mm&quot; uur&quot;"/>
    <numFmt numFmtId="177" formatCode="h:mm am/pm"/>
  </numFmts>
  <fonts count="53">
    <font>
      <sz val="10.0"/>
      <color rgb="FF000000"/>
      <name val="Arial"/>
      <scheme val="minor"/>
    </font>
    <font>
      <b/>
      <color theme="1"/>
      <name val="Arial"/>
      <scheme val="minor"/>
    </font>
    <font>
      <color rgb="FFFFFFFF"/>
      <name val="Arial"/>
      <scheme val="minor"/>
    </font>
    <font>
      <color theme="1"/>
      <name val="Arial"/>
      <scheme val="minor"/>
    </font>
    <font>
      <b/>
      <color rgb="FFFFFFFF"/>
      <name val="Arial"/>
      <scheme val="minor"/>
    </font>
    <font>
      <b/>
      <sz val="13.0"/>
      <color theme="1"/>
      <name val="Arial"/>
      <scheme val="minor"/>
    </font>
    <font>
      <b/>
      <i/>
      <sz val="13.0"/>
      <color theme="1"/>
      <name val="Arial"/>
      <scheme val="minor"/>
    </font>
    <font>
      <b/>
      <sz val="11.0"/>
      <color rgb="FF000000"/>
      <name val="Arial"/>
    </font>
    <font>
      <b/>
      <i/>
      <color theme="1"/>
      <name val="Arial"/>
      <scheme val="minor"/>
    </font>
    <font>
      <i/>
      <color theme="1"/>
      <name val="Arial"/>
      <scheme val="minor"/>
    </font>
    <font>
      <b/>
      <i/>
      <sz val="11.0"/>
      <color rgb="FF000000"/>
      <name val="Arial"/>
    </font>
    <font>
      <color rgb="FF38761D"/>
      <name val="Arial"/>
      <scheme val="minor"/>
    </font>
    <font>
      <i/>
      <sz val="7.0"/>
      <color theme="1"/>
      <name val="Arial"/>
      <scheme val="minor"/>
    </font>
    <font>
      <sz val="7.0"/>
      <color theme="1"/>
      <name val="Arial"/>
      <scheme val="minor"/>
    </font>
    <font>
      <strike/>
      <color theme="1"/>
      <name val="Arial"/>
      <scheme val="minor"/>
    </font>
    <font>
      <b/>
      <strike/>
      <color theme="1"/>
      <name val="Arial"/>
      <scheme val="minor"/>
    </font>
    <font>
      <color rgb="FF000000"/>
      <name val="Arial"/>
    </font>
    <font>
      <color theme="1"/>
      <name val="Arial"/>
    </font>
    <font>
      <u/>
      <color rgb="FF1155CC"/>
      <name val="Arial"/>
    </font>
    <font>
      <u/>
      <color rgb="FF1155CC"/>
      <name val="Arial"/>
    </font>
    <font>
      <color theme="1"/>
      <name val="Linux Libertine"/>
    </font>
    <font>
      <color rgb="FF171717"/>
      <name val="Arial"/>
    </font>
    <font>
      <color rgb="FF101418"/>
      <name val="Arial"/>
    </font>
    <font>
      <color rgb="FF101418"/>
      <name val="Linux Libertine"/>
    </font>
    <font>
      <u/>
      <color rgb="FF0000FF"/>
    </font>
    <font>
      <b/>
      <color theme="1"/>
      <name val="Arial"/>
    </font>
    <font>
      <strike/>
      <color theme="1"/>
      <name val="Arial"/>
    </font>
    <font>
      <b/>
      <sz val="12.0"/>
      <color theme="1"/>
      <name val="Ubuntu"/>
    </font>
    <font>
      <b/>
      <sz val="14.0"/>
      <color rgb="FFCC00CC"/>
      <name val="Ubuntu"/>
    </font>
    <font>
      <sz val="8.0"/>
      <color theme="1"/>
      <name val="Arimo"/>
    </font>
    <font>
      <b/>
      <sz val="8.0"/>
      <color theme="1"/>
      <name val="Ubuntu"/>
    </font>
    <font>
      <sz val="8.0"/>
      <color theme="1"/>
      <name val="Arial"/>
    </font>
    <font>
      <sz val="8.0"/>
      <color rgb="FF000000"/>
      <name val="Docs-Arimo"/>
    </font>
    <font>
      <sz val="8.0"/>
      <color rgb="FFFFFFFF"/>
      <name val="Ubuntu"/>
    </font>
    <font>
      <b/>
      <sz val="8.0"/>
      <color rgb="FFCCCCCC"/>
      <name val="Ubuntu"/>
    </font>
    <font>
      <sz val="8.0"/>
      <color theme="1"/>
      <name val="Ubuntu"/>
    </font>
    <font>
      <sz val="9.0"/>
      <color rgb="FF1F1F1F"/>
      <name val="&quot;Google Sans&quot;"/>
    </font>
    <font>
      <sz val="8.0"/>
      <color rgb="FFFFFFFF"/>
      <name val="Arimo"/>
    </font>
    <font>
      <sz val="8.0"/>
      <color theme="1"/>
      <name val="Arial"/>
      <scheme val="minor"/>
    </font>
    <font>
      <sz val="10.0"/>
      <color rgb="FFFFFFFF"/>
      <name val="Roboto"/>
    </font>
    <font>
      <sz val="21.0"/>
      <color rgb="FFFFFFFF"/>
      <name val="Roboto"/>
    </font>
    <font/>
    <font>
      <i/>
      <sz val="10.0"/>
      <color rgb="FFFFFFFF"/>
      <name val="Roboto"/>
    </font>
    <font>
      <sz val="11.0"/>
      <color rgb="FFFFFFFF"/>
      <name val="Roboto"/>
    </font>
    <font>
      <b/>
      <sz val="11.0"/>
      <color rgb="FFFFFFFF"/>
      <name val="Roboto"/>
    </font>
    <font>
      <sz val="10.0"/>
      <color rgb="FF666666"/>
      <name val="Roboto"/>
    </font>
    <font>
      <sz val="10.0"/>
      <color rgb="FF434343"/>
      <name val="Roboto"/>
    </font>
    <font>
      <b/>
      <sz val="11.0"/>
      <color rgb="FF434343"/>
      <name val="Roboto"/>
    </font>
    <font>
      <sz val="10.0"/>
      <color theme="1"/>
      <name val="Roboto"/>
    </font>
    <font>
      <sz val="10.0"/>
      <color rgb="FF555555"/>
      <name val="Roboto"/>
    </font>
    <font>
      <color rgb="FF555555"/>
      <name val="Docs-Roboto"/>
    </font>
    <font>
      <b/>
      <sz val="8.0"/>
      <color theme="1"/>
      <name val="Arimo"/>
    </font>
    <font>
      <i/>
      <sz val="8.0"/>
      <color theme="1"/>
      <name val="Arimo"/>
    </font>
  </fonts>
  <fills count="32">
    <fill>
      <patternFill patternType="none"/>
    </fill>
    <fill>
      <patternFill patternType="lightGray"/>
    </fill>
    <fill>
      <patternFill patternType="solid">
        <fgColor rgb="FFFF9900"/>
        <bgColor rgb="FFFF9900"/>
      </patternFill>
    </fill>
    <fill>
      <patternFill patternType="solid">
        <fgColor rgb="FF660000"/>
        <bgColor rgb="FF660000"/>
      </patternFill>
    </fill>
    <fill>
      <patternFill patternType="solid">
        <fgColor rgb="FFFF0000"/>
        <bgColor rgb="FFFF0000"/>
      </patternFill>
    </fill>
    <fill>
      <patternFill patternType="solid">
        <fgColor rgb="FF4C1130"/>
        <bgColor rgb="FF4C1130"/>
      </patternFill>
    </fill>
    <fill>
      <patternFill patternType="solid">
        <fgColor rgb="FF000000"/>
        <bgColor rgb="FF000000"/>
      </patternFill>
    </fill>
    <fill>
      <patternFill patternType="solid">
        <fgColor rgb="FF999999"/>
        <bgColor rgb="FF999999"/>
      </patternFill>
    </fill>
    <fill>
      <patternFill patternType="solid">
        <fgColor rgb="FFFFD966"/>
        <bgColor rgb="FFFFD966"/>
      </patternFill>
    </fill>
    <fill>
      <patternFill patternType="solid">
        <fgColor rgb="FFE06666"/>
        <bgColor rgb="FFE06666"/>
      </patternFill>
    </fill>
    <fill>
      <patternFill patternType="solid">
        <fgColor rgb="FF93C47D"/>
        <bgColor rgb="FF93C47D"/>
      </patternFill>
    </fill>
    <fill>
      <patternFill patternType="solid">
        <fgColor rgb="FFF1C232"/>
        <bgColor rgb="FFF1C232"/>
      </patternFill>
    </fill>
    <fill>
      <patternFill patternType="solid">
        <fgColor rgb="FFBF9000"/>
        <bgColor rgb="FFBF9000"/>
      </patternFill>
    </fill>
    <fill>
      <patternFill patternType="solid">
        <fgColor rgb="FFCC0000"/>
        <bgColor rgb="FFCC0000"/>
      </patternFill>
    </fill>
    <fill>
      <patternFill patternType="solid">
        <fgColor rgb="FF990000"/>
        <bgColor rgb="FF990000"/>
      </patternFill>
    </fill>
    <fill>
      <patternFill patternType="solid">
        <fgColor rgb="FF6AA84F"/>
        <bgColor rgb="FF6AA84F"/>
      </patternFill>
    </fill>
    <fill>
      <patternFill patternType="solid">
        <fgColor rgb="FF38761D"/>
        <bgColor rgb="FF38761D"/>
      </patternFill>
    </fill>
    <fill>
      <patternFill patternType="solid">
        <fgColor rgb="FFFFFFFF"/>
        <bgColor rgb="FFFFFFFF"/>
      </patternFill>
    </fill>
    <fill>
      <patternFill patternType="solid">
        <fgColor rgb="FFCCCCCC"/>
        <bgColor rgb="FFCCCCCC"/>
      </patternFill>
    </fill>
    <fill>
      <patternFill patternType="solid">
        <fgColor rgb="FFEEEEEE"/>
        <bgColor rgb="FFEEEEEE"/>
      </patternFill>
    </fill>
    <fill>
      <patternFill patternType="solid">
        <fgColor rgb="FFDDDDDD"/>
        <bgColor rgb="FFDDDDDD"/>
      </patternFill>
    </fill>
    <fill>
      <patternFill patternType="solid">
        <fgColor rgb="FF00FFFF"/>
        <bgColor rgb="FF00FFFF"/>
      </patternFill>
    </fill>
    <fill>
      <patternFill patternType="solid">
        <fgColor rgb="FF0000FF"/>
        <bgColor rgb="FF0000FF"/>
      </patternFill>
    </fill>
    <fill>
      <patternFill patternType="solid">
        <fgColor rgb="FF783F04"/>
        <bgColor rgb="FF783F04"/>
      </patternFill>
    </fill>
    <fill>
      <patternFill patternType="solid">
        <fgColor rgb="FF00FF00"/>
        <bgColor rgb="FF00FF00"/>
      </patternFill>
    </fill>
    <fill>
      <patternFill patternType="solid">
        <fgColor rgb="FFEA9999"/>
        <bgColor rgb="FFEA9999"/>
      </patternFill>
    </fill>
    <fill>
      <patternFill patternType="solid">
        <fgColor rgb="FF9900FF"/>
        <bgColor rgb="FF9900FF"/>
      </patternFill>
    </fill>
    <fill>
      <patternFill patternType="solid">
        <fgColor rgb="FF980000"/>
        <bgColor rgb="FF980000"/>
      </patternFill>
    </fill>
    <fill>
      <patternFill patternType="solid">
        <fgColor rgb="FFFF00FF"/>
        <bgColor rgb="FFFF00FF"/>
      </patternFill>
    </fill>
    <fill>
      <patternFill patternType="solid">
        <fgColor rgb="FFEFEFEF"/>
        <bgColor rgb="FFEFEFEF"/>
      </patternFill>
    </fill>
    <fill>
      <patternFill patternType="solid">
        <fgColor rgb="FF0F9D58"/>
        <bgColor rgb="FF0F9D58"/>
      </patternFill>
    </fill>
    <fill>
      <patternFill patternType="solid">
        <fgColor rgb="FFF3F3F3"/>
        <bgColor rgb="FFF3F3F3"/>
      </patternFill>
    </fill>
  </fills>
  <borders count="26">
    <border/>
    <border>
      <bottom style="thick">
        <color rgb="FF00FF00"/>
      </bottom>
    </border>
    <border>
      <bottom style="thick">
        <color rgb="FF000000"/>
      </bottom>
    </border>
    <border>
      <top style="thick">
        <color rgb="FF000000"/>
      </top>
    </border>
    <border>
      <top style="thick">
        <color rgb="FF00FF00"/>
      </top>
    </border>
    <border>
      <bottom style="thin">
        <color rgb="FF000000"/>
      </bottom>
    </border>
    <border>
      <top style="thick">
        <color rgb="FF00FF00"/>
      </top>
      <bottom style="thick">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
      <left style="thin">
        <color rgb="FF000000"/>
      </left>
    </border>
    <border>
      <right style="thin">
        <color rgb="FF000000"/>
      </right>
      <top style="thin">
        <color rgb="FF000000"/>
      </top>
    </border>
    <border>
      <top style="thin">
        <color rgb="FF000000"/>
      </top>
    </border>
    <border>
      <right style="thin">
        <color rgb="FF000000"/>
      </right>
      <bottom style="thin">
        <color rgb="FF000000"/>
      </bottom>
    </border>
    <border>
      <left style="thin">
        <color rgb="FF004D40"/>
      </left>
      <top style="thin">
        <color rgb="FF004D40"/>
      </top>
    </border>
    <border>
      <top style="thin">
        <color rgb="FF004D40"/>
      </top>
    </border>
    <border>
      <right style="thin">
        <color rgb="FF004D40"/>
      </right>
      <top style="thin">
        <color rgb="FF004D40"/>
      </top>
    </border>
    <border>
      <left style="thin">
        <color rgb="FF004D40"/>
      </left>
    </border>
    <border>
      <right style="thin">
        <color rgb="FF004D40"/>
      </right>
    </border>
    <border>
      <bottom style="thin">
        <color rgb="FFD9D9D9"/>
      </bottom>
    </border>
    <border>
      <right style="thin">
        <color rgb="FFD9D9D9"/>
      </right>
    </border>
    <border>
      <right style="thin">
        <color rgb="FFD9D9D9"/>
      </right>
      <bottom style="thin">
        <color rgb="FFF3F3F3"/>
      </bottom>
    </border>
  </borders>
  <cellStyleXfs count="1">
    <xf borderId="0" fillId="0" fontId="0" numFmtId="0" applyAlignment="1" applyFont="1"/>
  </cellStyleXfs>
  <cellXfs count="3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2" fontId="2" numFmtId="0" xfId="0" applyAlignment="1" applyFill="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0" fontId="3" numFmtId="20" xfId="0" applyAlignment="1" applyFont="1" applyNumberFormat="1">
      <alignment readingOrder="0"/>
    </xf>
    <xf borderId="0" fillId="0" fontId="3" numFmtId="164" xfId="0" applyAlignment="1" applyFont="1" applyNumberFormat="1">
      <alignment horizontal="right" readingOrder="0"/>
    </xf>
    <xf borderId="0" fillId="0" fontId="3" numFmtId="165" xfId="0" applyAlignment="1" applyFont="1" applyNumberFormat="1">
      <alignment horizontal="right" readingOrder="0"/>
    </xf>
    <xf borderId="0" fillId="0" fontId="3" numFmtId="20" xfId="0" applyAlignment="1" applyFont="1" applyNumberFormat="1">
      <alignment horizontal="right" readingOrder="0"/>
    </xf>
    <xf borderId="0" fillId="0" fontId="3" numFmtId="166" xfId="0" applyAlignment="1" applyFont="1" applyNumberFormat="1">
      <alignment readingOrder="0"/>
    </xf>
    <xf borderId="0" fillId="0" fontId="3" numFmtId="165" xfId="0" applyFont="1" applyNumberFormat="1"/>
    <xf borderId="0" fillId="0" fontId="3" numFmtId="167" xfId="0" applyFont="1" applyNumberFormat="1"/>
    <xf borderId="0" fillId="0" fontId="3" numFmtId="168" xfId="0" applyAlignment="1" applyFont="1" applyNumberFormat="1">
      <alignment readingOrder="0"/>
    </xf>
    <xf borderId="1" fillId="2" fontId="2" numFmtId="0" xfId="0" applyAlignment="1" applyBorder="1" applyFont="1">
      <alignment readingOrder="0"/>
    </xf>
    <xf borderId="1" fillId="0" fontId="3" numFmtId="0" xfId="0" applyAlignment="1" applyBorder="1" applyFont="1">
      <alignment readingOrder="0"/>
    </xf>
    <xf borderId="1" fillId="0" fontId="3" numFmtId="165" xfId="0" applyBorder="1" applyFont="1" applyNumberFormat="1"/>
    <xf borderId="1" fillId="0" fontId="3" numFmtId="167" xfId="0" applyBorder="1" applyFont="1" applyNumberFormat="1"/>
    <xf borderId="1" fillId="0" fontId="3" numFmtId="0" xfId="0" applyBorder="1" applyFont="1"/>
    <xf borderId="0" fillId="2" fontId="4" numFmtId="0" xfId="0" applyAlignment="1" applyFont="1">
      <alignment readingOrder="0"/>
    </xf>
    <xf borderId="0" fillId="0" fontId="1" numFmtId="20" xfId="0" applyAlignment="1" applyFont="1" applyNumberFormat="1">
      <alignment readingOrder="0"/>
    </xf>
    <xf borderId="0" fillId="3" fontId="2" numFmtId="0" xfId="0" applyAlignment="1" applyFill="1" applyFont="1">
      <alignment readingOrder="0"/>
    </xf>
    <xf borderId="2" fillId="3" fontId="2" numFmtId="0" xfId="0" applyAlignment="1" applyBorder="1" applyFont="1">
      <alignment readingOrder="0"/>
    </xf>
    <xf borderId="2" fillId="0" fontId="3" numFmtId="0" xfId="0" applyAlignment="1" applyBorder="1" applyFont="1">
      <alignment readingOrder="0"/>
    </xf>
    <xf borderId="2" fillId="0" fontId="3" numFmtId="165" xfId="0" applyBorder="1" applyFont="1" applyNumberFormat="1"/>
    <xf borderId="2" fillId="0" fontId="3" numFmtId="167" xfId="0" applyBorder="1" applyFont="1" applyNumberFormat="1"/>
    <xf borderId="2" fillId="0" fontId="3" numFmtId="0" xfId="0" applyBorder="1" applyFont="1"/>
    <xf borderId="0" fillId="0" fontId="3" numFmtId="164" xfId="0" applyFont="1" applyNumberFormat="1"/>
    <xf borderId="0" fillId="4" fontId="2" numFmtId="0" xfId="0" applyAlignment="1" applyFill="1" applyFont="1">
      <alignment readingOrder="0"/>
    </xf>
    <xf borderId="2" fillId="4" fontId="2" numFmtId="0" xfId="0" applyAlignment="1" applyBorder="1" applyFont="1">
      <alignment readingOrder="0"/>
    </xf>
    <xf borderId="2" fillId="0" fontId="3" numFmtId="164" xfId="0" applyBorder="1" applyFont="1" applyNumberFormat="1"/>
    <xf borderId="1" fillId="4" fontId="2" numFmtId="0" xfId="0" applyAlignment="1" applyBorder="1" applyFont="1">
      <alignment readingOrder="0"/>
    </xf>
    <xf borderId="1" fillId="0" fontId="3" numFmtId="164" xfId="0" applyBorder="1" applyFont="1" applyNumberFormat="1"/>
    <xf borderId="0" fillId="4" fontId="4" numFmtId="0" xfId="0" applyAlignment="1" applyFont="1">
      <alignment readingOrder="0"/>
    </xf>
    <xf borderId="0" fillId="0" fontId="1" numFmtId="165" xfId="0" applyFont="1" applyNumberFormat="1"/>
    <xf borderId="0" fillId="0" fontId="1" numFmtId="167" xfId="0" applyFont="1" applyNumberFormat="1"/>
    <xf borderId="0" fillId="5" fontId="2" numFmtId="0" xfId="0" applyAlignment="1" applyFill="1" applyFont="1">
      <alignment readingOrder="0"/>
    </xf>
    <xf borderId="0" fillId="6" fontId="2" numFmtId="0" xfId="0" applyAlignment="1" applyFill="1" applyFont="1">
      <alignment readingOrder="0"/>
    </xf>
    <xf borderId="3" fillId="4" fontId="2" numFmtId="0" xfId="0" applyAlignment="1" applyBorder="1" applyFont="1">
      <alignment readingOrder="0"/>
    </xf>
    <xf borderId="3" fillId="0" fontId="3" numFmtId="0" xfId="0" applyAlignment="1" applyBorder="1" applyFont="1">
      <alignment readingOrder="0"/>
    </xf>
    <xf borderId="3" fillId="0" fontId="3" numFmtId="164" xfId="0" applyBorder="1" applyFont="1" applyNumberFormat="1"/>
    <xf borderId="3" fillId="0" fontId="3" numFmtId="165" xfId="0" applyBorder="1" applyFont="1" applyNumberFormat="1"/>
    <xf borderId="3" fillId="0" fontId="3" numFmtId="167" xfId="0" applyBorder="1" applyFont="1" applyNumberFormat="1"/>
    <xf borderId="3" fillId="0" fontId="3" numFmtId="0" xfId="0" applyBorder="1" applyFont="1"/>
    <xf borderId="4" fillId="4" fontId="2" numFmtId="0" xfId="0" applyAlignment="1" applyBorder="1" applyFont="1">
      <alignment readingOrder="0"/>
    </xf>
    <xf borderId="4" fillId="0" fontId="3" numFmtId="0" xfId="0" applyAlignment="1" applyBorder="1" applyFont="1">
      <alignment readingOrder="0"/>
    </xf>
    <xf borderId="4" fillId="0" fontId="3" numFmtId="165" xfId="0" applyBorder="1" applyFont="1" applyNumberFormat="1"/>
    <xf borderId="4" fillId="0" fontId="3" numFmtId="167" xfId="0" applyBorder="1" applyFont="1" applyNumberFormat="1"/>
    <xf borderId="4" fillId="0" fontId="3" numFmtId="0" xfId="0" applyBorder="1" applyFont="1"/>
    <xf borderId="5" fillId="0" fontId="3" numFmtId="0" xfId="0" applyAlignment="1" applyBorder="1" applyFont="1">
      <alignment readingOrder="0"/>
    </xf>
    <xf borderId="4" fillId="0" fontId="3" numFmtId="164" xfId="0" applyBorder="1" applyFont="1" applyNumberFormat="1"/>
    <xf borderId="6" fillId="4" fontId="2" numFmtId="0" xfId="0" applyAlignment="1" applyBorder="1" applyFont="1">
      <alignment readingOrder="0"/>
    </xf>
    <xf borderId="6" fillId="0" fontId="3" numFmtId="0" xfId="0" applyAlignment="1" applyBorder="1" applyFont="1">
      <alignment readingOrder="0"/>
    </xf>
    <xf borderId="6" fillId="0" fontId="3" numFmtId="164" xfId="0" applyBorder="1" applyFont="1" applyNumberFormat="1"/>
    <xf borderId="6" fillId="0" fontId="3" numFmtId="165" xfId="0" applyBorder="1" applyFont="1" applyNumberFormat="1"/>
    <xf borderId="6" fillId="0" fontId="3" numFmtId="167" xfId="0" applyBorder="1" applyFont="1" applyNumberFormat="1"/>
    <xf borderId="6" fillId="0" fontId="3" numFmtId="0" xfId="0" applyBorder="1" applyFont="1"/>
    <xf borderId="3" fillId="6" fontId="2" numFmtId="0" xfId="0" applyAlignment="1" applyBorder="1" applyFont="1">
      <alignment readingOrder="0"/>
    </xf>
    <xf borderId="4" fillId="5" fontId="2" numFmtId="0" xfId="0" applyAlignment="1" applyBorder="1" applyFont="1">
      <alignment readingOrder="0"/>
    </xf>
    <xf borderId="0" fillId="0" fontId="3" numFmtId="0" xfId="0" applyFont="1"/>
    <xf borderId="0" fillId="0" fontId="1" numFmtId="0" xfId="0" applyAlignment="1" applyFont="1">
      <alignment readingOrder="0" shrinkToFit="0" wrapText="1"/>
    </xf>
    <xf borderId="0" fillId="0" fontId="1" numFmtId="0" xfId="0" applyAlignment="1" applyFont="1">
      <alignment horizontal="right" readingOrder="0" shrinkToFit="0" wrapText="1"/>
    </xf>
    <xf borderId="0" fillId="0" fontId="1" numFmtId="0" xfId="0" applyAlignment="1" applyFont="1">
      <alignment shrinkToFit="0" wrapText="1"/>
    </xf>
    <xf borderId="0" fillId="0" fontId="3" numFmtId="0" xfId="0" applyAlignment="1" applyFont="1">
      <alignment shrinkToFit="0" wrapText="1"/>
    </xf>
    <xf borderId="0" fillId="0" fontId="3" numFmtId="169" xfId="0" applyAlignment="1" applyFont="1" applyNumberFormat="1">
      <alignment readingOrder="0"/>
    </xf>
    <xf borderId="0" fillId="0" fontId="3" numFmtId="0" xfId="0" applyAlignment="1" applyFont="1">
      <alignment readingOrder="0" shrinkToFit="0" wrapText="1"/>
    </xf>
    <xf borderId="2" fillId="5" fontId="2" numFmtId="0" xfId="0" applyAlignment="1" applyBorder="1" applyFont="1">
      <alignment readingOrder="0"/>
    </xf>
    <xf borderId="1" fillId="6" fontId="2" numFmtId="0" xfId="0" applyAlignment="1" applyBorder="1" applyFont="1">
      <alignment readingOrder="0"/>
    </xf>
    <xf borderId="1" fillId="5" fontId="2" numFmtId="0" xfId="0" applyAlignment="1" applyBorder="1" applyFont="1">
      <alignment readingOrder="0"/>
    </xf>
    <xf borderId="0" fillId="0" fontId="5" numFmtId="170" xfId="0" applyAlignment="1" applyFont="1" applyNumberFormat="1">
      <alignment horizontal="right" readingOrder="0"/>
    </xf>
    <xf borderId="0" fillId="0" fontId="6" numFmtId="0" xfId="0" applyAlignment="1" applyFont="1">
      <alignment readingOrder="0"/>
    </xf>
    <xf borderId="0" fillId="0" fontId="7" numFmtId="0" xfId="0" applyAlignment="1" applyFont="1">
      <alignment readingOrder="0"/>
    </xf>
    <xf borderId="0" fillId="0" fontId="1" numFmtId="170" xfId="0" applyAlignment="1" applyFont="1" applyNumberFormat="1">
      <alignment horizontal="right" readingOrder="0"/>
    </xf>
    <xf borderId="0" fillId="0" fontId="8" numFmtId="170" xfId="0" applyAlignment="1" applyFont="1" applyNumberFormat="1">
      <alignment horizontal="right" readingOrder="0"/>
    </xf>
    <xf borderId="0" fillId="0" fontId="8" numFmtId="0" xfId="0" applyAlignment="1" applyFont="1">
      <alignment readingOrder="0"/>
    </xf>
    <xf borderId="0" fillId="0" fontId="9" numFmtId="170" xfId="0" applyAlignment="1" applyFont="1" applyNumberFormat="1">
      <alignment horizontal="right" readingOrder="0"/>
    </xf>
    <xf borderId="0" fillId="0" fontId="8" numFmtId="0" xfId="0" applyFont="1"/>
    <xf borderId="0" fillId="0" fontId="10" numFmtId="0" xfId="0" applyAlignment="1" applyFont="1">
      <alignment readingOrder="0"/>
    </xf>
    <xf borderId="0" fillId="0" fontId="8" numFmtId="0" xfId="0" applyAlignment="1" applyFont="1">
      <alignment horizontal="right" readingOrder="0"/>
    </xf>
    <xf borderId="0" fillId="0" fontId="11" numFmtId="0" xfId="0" applyAlignment="1" applyFont="1">
      <alignment readingOrder="0"/>
    </xf>
    <xf borderId="0" fillId="0" fontId="9" numFmtId="0" xfId="0" applyAlignment="1" applyFont="1">
      <alignment readingOrder="0"/>
    </xf>
    <xf borderId="0" fillId="0" fontId="9" numFmtId="170" xfId="0" applyAlignment="1" applyFont="1" applyNumberFormat="1">
      <alignment horizontal="right"/>
    </xf>
    <xf borderId="0" fillId="0" fontId="9" numFmtId="0" xfId="0" applyAlignment="1" applyFont="1">
      <alignment horizontal="right" readingOrder="0"/>
    </xf>
    <xf borderId="0" fillId="0" fontId="3" numFmtId="170" xfId="0" applyAlignment="1" applyFont="1" applyNumberFormat="1">
      <alignment horizontal="right"/>
    </xf>
    <xf borderId="0" fillId="0" fontId="1" numFmtId="0" xfId="0" applyAlignment="1" applyFont="1">
      <alignment horizontal="center" readingOrder="0"/>
    </xf>
    <xf borderId="0" fillId="7" fontId="1" numFmtId="0" xfId="0" applyAlignment="1" applyFill="1" applyFont="1">
      <alignment horizontal="center" readingOrder="0"/>
    </xf>
    <xf borderId="0" fillId="4" fontId="1" numFmtId="0" xfId="0" applyAlignment="1" applyFont="1">
      <alignment horizontal="center" readingOrder="0"/>
    </xf>
    <xf borderId="0" fillId="8" fontId="1" numFmtId="0" xfId="0" applyAlignment="1" applyFill="1" applyFont="1">
      <alignment horizontal="center" readingOrder="0"/>
    </xf>
    <xf borderId="0" fillId="9" fontId="1" numFmtId="0" xfId="0" applyAlignment="1" applyFill="1" applyFont="1">
      <alignment horizontal="center" readingOrder="0"/>
    </xf>
    <xf borderId="0" fillId="10" fontId="1" numFmtId="0" xfId="0" applyAlignment="1" applyFill="1" applyFont="1">
      <alignment horizontal="center" readingOrder="0"/>
    </xf>
    <xf borderId="0" fillId="0" fontId="1" numFmtId="0" xfId="0" applyAlignment="1" applyFont="1">
      <alignment horizontal="center"/>
    </xf>
    <xf borderId="0" fillId="0" fontId="3" numFmtId="170" xfId="0" applyAlignment="1" applyFont="1" applyNumberFormat="1">
      <alignment horizontal="right" readingOrder="0"/>
    </xf>
    <xf borderId="0" fillId="0" fontId="3" numFmtId="0" xfId="0" applyAlignment="1" applyFont="1">
      <alignment horizontal="right" readingOrder="0"/>
    </xf>
    <xf borderId="0" fillId="7" fontId="3" numFmtId="0" xfId="0" applyAlignment="1" applyFont="1">
      <alignment readingOrder="0"/>
    </xf>
    <xf borderId="0" fillId="7" fontId="9" numFmtId="0" xfId="0" applyAlignment="1" applyFont="1">
      <alignment horizontal="left" readingOrder="0"/>
    </xf>
    <xf borderId="0" fillId="7" fontId="9" numFmtId="0" xfId="0" applyAlignment="1" applyFont="1">
      <alignment horizontal="center" readingOrder="0"/>
    </xf>
    <xf borderId="0" fillId="7" fontId="3" numFmtId="0" xfId="0" applyAlignment="1" applyFont="1">
      <alignment horizontal="center" readingOrder="0"/>
    </xf>
    <xf borderId="0" fillId="0" fontId="3" numFmtId="0" xfId="0" applyAlignment="1" applyFont="1">
      <alignment horizontal="center" readingOrder="0"/>
    </xf>
    <xf borderId="0" fillId="4" fontId="3" numFmtId="0" xfId="0" applyAlignment="1" applyFont="1">
      <alignment horizontal="center" readingOrder="0"/>
    </xf>
    <xf borderId="0" fillId="8" fontId="3" numFmtId="0" xfId="0" applyAlignment="1" applyFont="1">
      <alignment horizontal="center" readingOrder="0"/>
    </xf>
    <xf borderId="0" fillId="11" fontId="3" numFmtId="0" xfId="0" applyAlignment="1" applyFill="1" applyFont="1">
      <alignment horizontal="center" readingOrder="0"/>
    </xf>
    <xf borderId="0" fillId="12" fontId="3" numFmtId="0" xfId="0" applyAlignment="1" applyFill="1" applyFont="1">
      <alignment horizontal="center" readingOrder="0"/>
    </xf>
    <xf borderId="0" fillId="9" fontId="3" numFmtId="0" xfId="0" applyAlignment="1" applyFont="1">
      <alignment horizontal="center" readingOrder="0"/>
    </xf>
    <xf borderId="0" fillId="13" fontId="3" numFmtId="0" xfId="0" applyAlignment="1" applyFill="1" applyFont="1">
      <alignment horizontal="center" readingOrder="0"/>
    </xf>
    <xf borderId="0" fillId="14" fontId="3" numFmtId="0" xfId="0" applyAlignment="1" applyFill="1" applyFont="1">
      <alignment horizontal="center" readingOrder="0"/>
    </xf>
    <xf borderId="0" fillId="10" fontId="3" numFmtId="0" xfId="0" applyAlignment="1" applyFont="1">
      <alignment horizontal="center" readingOrder="0"/>
    </xf>
    <xf borderId="0" fillId="15" fontId="3" numFmtId="0" xfId="0" applyAlignment="1" applyFill="1" applyFont="1">
      <alignment readingOrder="0"/>
    </xf>
    <xf borderId="0" fillId="16" fontId="3" numFmtId="0" xfId="0" applyAlignment="1" applyFill="1" applyFont="1">
      <alignment horizontal="center" readingOrder="0"/>
    </xf>
    <xf borderId="0" fillId="7" fontId="9" numFmtId="0" xfId="0" applyAlignment="1" applyFont="1">
      <alignment readingOrder="0"/>
    </xf>
    <xf borderId="0" fillId="7" fontId="3" numFmtId="0" xfId="0" applyFont="1"/>
    <xf borderId="0" fillId="4" fontId="3" numFmtId="0" xfId="0" applyFont="1"/>
    <xf borderId="0" fillId="8" fontId="3" numFmtId="0" xfId="0" applyFont="1"/>
    <xf borderId="0" fillId="11" fontId="3" numFmtId="0" xfId="0" applyFont="1"/>
    <xf borderId="0" fillId="12" fontId="3" numFmtId="0" xfId="0" applyFont="1"/>
    <xf borderId="0" fillId="9" fontId="3" numFmtId="0" xfId="0" applyFont="1"/>
    <xf borderId="0" fillId="13" fontId="3" numFmtId="0" xfId="0" applyFont="1"/>
    <xf borderId="0" fillId="14" fontId="3" numFmtId="0" xfId="0" applyFont="1"/>
    <xf borderId="0" fillId="10" fontId="12" numFmtId="0" xfId="0" applyAlignment="1" applyFont="1">
      <alignment readingOrder="0"/>
    </xf>
    <xf borderId="0" fillId="15" fontId="13" numFmtId="0" xfId="0" applyFont="1"/>
    <xf borderId="0" fillId="16" fontId="12" numFmtId="0" xfId="0" applyFont="1"/>
    <xf borderId="0" fillId="16" fontId="12" numFmtId="0" xfId="0" applyAlignment="1" applyFont="1">
      <alignment readingOrder="0"/>
    </xf>
    <xf borderId="0" fillId="15" fontId="3" numFmtId="0" xfId="0" applyFont="1"/>
    <xf borderId="0" fillId="7" fontId="8" numFmtId="0" xfId="0" applyAlignment="1" applyFont="1">
      <alignment readingOrder="0"/>
    </xf>
    <xf borderId="0" fillId="4" fontId="2" numFmtId="0" xfId="0" applyFont="1"/>
    <xf borderId="0" fillId="14" fontId="2" numFmtId="0" xfId="0" applyAlignment="1" applyFont="1">
      <alignment readingOrder="0"/>
    </xf>
    <xf borderId="0" fillId="10" fontId="3" numFmtId="0" xfId="0" applyFont="1"/>
    <xf borderId="0" fillId="16" fontId="3" numFmtId="0" xfId="0" applyFont="1"/>
    <xf borderId="0" fillId="7" fontId="1" numFmtId="0" xfId="0" applyAlignment="1" applyFont="1">
      <alignment readingOrder="0"/>
    </xf>
    <xf borderId="0" fillId="15" fontId="14" numFmtId="0" xfId="0" applyAlignment="1" applyFont="1">
      <alignment readingOrder="0"/>
    </xf>
    <xf borderId="0" fillId="7" fontId="15" numFmtId="0" xfId="0" applyAlignment="1" applyFont="1">
      <alignment readingOrder="0"/>
    </xf>
    <xf borderId="0" fillId="15" fontId="14" numFmtId="0" xfId="0" applyAlignment="1" applyFont="1">
      <alignment readingOrder="0"/>
    </xf>
    <xf borderId="0" fillId="7" fontId="3" numFmtId="0" xfId="0" applyFont="1"/>
    <xf borderId="0" fillId="0" fontId="14" numFmtId="0" xfId="0" applyAlignment="1" applyFont="1">
      <alignment readingOrder="0"/>
    </xf>
    <xf borderId="0" fillId="15" fontId="16" numFmtId="0" xfId="0" applyAlignment="1" applyFont="1">
      <alignment horizontal="left" readingOrder="0"/>
    </xf>
    <xf borderId="0" fillId="0" fontId="17" numFmtId="0" xfId="0" applyAlignment="1" applyFont="1">
      <alignment horizontal="right" vertical="bottom"/>
    </xf>
    <xf borderId="0" fillId="0" fontId="17" numFmtId="0" xfId="0" applyAlignment="1" applyFont="1">
      <alignment vertical="bottom"/>
    </xf>
    <xf borderId="0" fillId="0" fontId="18" numFmtId="0" xfId="0" applyAlignment="1" applyFont="1">
      <alignment vertical="bottom"/>
    </xf>
    <xf borderId="0" fillId="0" fontId="17" numFmtId="0" xfId="0" applyAlignment="1" applyFont="1">
      <alignment horizontal="right" vertical="bottom"/>
    </xf>
    <xf borderId="0" fillId="0" fontId="17" numFmtId="0" xfId="0" applyAlignment="1" applyFont="1">
      <alignment vertical="bottom"/>
    </xf>
    <xf borderId="0" fillId="0" fontId="19" numFmtId="0" xfId="0" applyAlignment="1" applyFont="1">
      <alignment vertical="bottom"/>
    </xf>
    <xf borderId="0" fillId="17" fontId="20" numFmtId="0" xfId="0" applyAlignment="1" applyFill="1" applyFont="1">
      <alignment shrinkToFit="0" vertical="bottom" wrapText="1"/>
    </xf>
    <xf borderId="0" fillId="0" fontId="17" numFmtId="0" xfId="0" applyAlignment="1" applyFont="1">
      <alignment horizontal="right" readingOrder="0" vertical="bottom"/>
    </xf>
    <xf borderId="0" fillId="0" fontId="17" numFmtId="171" xfId="0" applyAlignment="1" applyFont="1" applyNumberFormat="1">
      <alignment horizontal="right" vertical="bottom"/>
    </xf>
    <xf borderId="0" fillId="17" fontId="21" numFmtId="0" xfId="0" applyAlignment="1" applyFont="1">
      <alignment vertical="bottom"/>
    </xf>
    <xf borderId="0" fillId="0" fontId="17" numFmtId="172" xfId="0" applyAlignment="1" applyFont="1" applyNumberFormat="1">
      <alignment horizontal="right" vertical="bottom"/>
    </xf>
    <xf borderId="0" fillId="17" fontId="22" numFmtId="0" xfId="0" applyAlignment="1" applyFont="1">
      <alignment shrinkToFit="0" vertical="bottom" wrapText="1"/>
    </xf>
    <xf borderId="0" fillId="17" fontId="23" numFmtId="0" xfId="0" applyAlignment="1" applyFont="1">
      <alignment shrinkToFit="0" vertical="bottom" wrapText="1"/>
    </xf>
    <xf borderId="0" fillId="0" fontId="3" numFmtId="172" xfId="0" applyAlignment="1" applyFont="1" applyNumberFormat="1">
      <alignment readingOrder="0"/>
    </xf>
    <xf borderId="0" fillId="0" fontId="3" numFmtId="0" xfId="0" applyAlignment="1" applyFont="1">
      <alignment readingOrder="0"/>
    </xf>
    <xf borderId="0" fillId="0" fontId="24" numFmtId="0" xfId="0" applyAlignment="1" applyFont="1">
      <alignment readingOrder="0"/>
    </xf>
    <xf borderId="0" fillId="0" fontId="3" numFmtId="171" xfId="0" applyAlignment="1" applyFont="1" applyNumberFormat="1">
      <alignment readingOrder="0"/>
    </xf>
    <xf borderId="0" fillId="0" fontId="17" numFmtId="0" xfId="0" applyAlignment="1" applyFont="1">
      <alignment readingOrder="0" vertical="bottom"/>
    </xf>
    <xf borderId="0" fillId="0" fontId="25" numFmtId="0" xfId="0" applyAlignment="1" applyFont="1">
      <alignment readingOrder="0" vertical="bottom"/>
    </xf>
    <xf borderId="0" fillId="0" fontId="25" numFmtId="0" xfId="0" applyAlignment="1" applyFont="1">
      <alignment vertical="bottom"/>
    </xf>
    <xf borderId="0" fillId="0" fontId="3" numFmtId="0" xfId="0" applyFont="1"/>
    <xf borderId="0" fillId="0" fontId="25" numFmtId="0" xfId="0" applyAlignment="1" applyFont="1">
      <alignment vertical="bottom"/>
    </xf>
    <xf borderId="0" fillId="0" fontId="25" numFmtId="0" xfId="0" applyAlignment="1" applyFont="1">
      <alignment shrinkToFit="0" vertical="bottom" wrapText="1"/>
    </xf>
    <xf borderId="0" fillId="0" fontId="25" numFmtId="0" xfId="0" applyAlignment="1" applyFont="1">
      <alignment horizontal="right" vertical="bottom"/>
    </xf>
    <xf borderId="0" fillId="0" fontId="17" numFmtId="0" xfId="0" applyAlignment="1" applyFont="1">
      <alignment shrinkToFit="0" vertical="bottom" wrapText="1"/>
    </xf>
    <xf borderId="0" fillId="0" fontId="17" numFmtId="0" xfId="0" applyAlignment="1" applyFont="1">
      <alignment readingOrder="0" shrinkToFit="0" vertical="bottom" wrapText="1"/>
    </xf>
    <xf borderId="0" fillId="0" fontId="14" numFmtId="0" xfId="0" applyAlignment="1" applyFont="1">
      <alignment readingOrder="0"/>
    </xf>
    <xf borderId="0" fillId="0" fontId="3" numFmtId="0" xfId="0" applyAlignment="1" applyFont="1">
      <alignment horizontal="right"/>
    </xf>
    <xf borderId="0" fillId="0" fontId="26" numFmtId="0" xfId="0" applyAlignment="1" applyFont="1">
      <alignment vertical="bottom"/>
    </xf>
    <xf borderId="0" fillId="0" fontId="17" numFmtId="170" xfId="0" applyAlignment="1" applyFont="1" applyNumberFormat="1">
      <alignment horizontal="right" vertical="bottom"/>
    </xf>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0" fontId="17" numFmtId="170" xfId="0" applyAlignment="1" applyFont="1" applyNumberFormat="1">
      <alignment horizontal="right" readingOrder="0" vertical="bottom"/>
    </xf>
    <xf borderId="0" fillId="0" fontId="26" numFmtId="0" xfId="0" applyAlignment="1" applyFont="1">
      <alignment readingOrder="0" vertical="bottom"/>
    </xf>
    <xf borderId="0" fillId="0" fontId="17" numFmtId="0" xfId="0" applyAlignment="1" applyFont="1">
      <alignment shrinkToFit="0" vertical="bottom" wrapText="0"/>
    </xf>
    <xf borderId="7" fillId="18" fontId="27" numFmtId="0" xfId="0" applyAlignment="1" applyBorder="1" applyFill="1" applyFont="1">
      <alignment horizontal="center" readingOrder="0"/>
    </xf>
    <xf borderId="0" fillId="0" fontId="28" numFmtId="0" xfId="0" applyAlignment="1" applyFont="1">
      <alignment horizontal="left" readingOrder="0"/>
    </xf>
    <xf borderId="0" fillId="0" fontId="29" numFmtId="0" xfId="0" applyAlignment="1" applyFont="1">
      <alignment horizontal="left"/>
    </xf>
    <xf borderId="0" fillId="0" fontId="28" numFmtId="0" xfId="0" applyAlignment="1" applyFont="1">
      <alignment horizontal="right" readingOrder="0"/>
    </xf>
    <xf borderId="8" fillId="0" fontId="30" numFmtId="0" xfId="0" applyAlignment="1" applyBorder="1" applyFont="1">
      <alignment horizontal="right" vertical="bottom"/>
    </xf>
    <xf borderId="8" fillId="0" fontId="30" numFmtId="0" xfId="0" applyAlignment="1" applyBorder="1" applyFont="1">
      <alignment horizontal="right" readingOrder="0"/>
    </xf>
    <xf borderId="9" fillId="0" fontId="17" numFmtId="0" xfId="0" applyAlignment="1" applyBorder="1" applyFont="1">
      <alignment vertical="bottom"/>
    </xf>
    <xf borderId="9" fillId="0" fontId="29" numFmtId="0" xfId="0" applyAlignment="1" applyBorder="1" applyFont="1">
      <alignment horizontal="left"/>
    </xf>
    <xf borderId="8" fillId="0" fontId="30" numFmtId="0" xfId="0" applyAlignment="1" applyBorder="1" applyFont="1">
      <alignment horizontal="right" vertical="bottom"/>
    </xf>
    <xf borderId="9" fillId="0" fontId="29" numFmtId="0" xfId="0" applyAlignment="1" applyBorder="1" applyFont="1">
      <alignment horizontal="left" readingOrder="0" shrinkToFit="0" wrapText="1"/>
    </xf>
    <xf borderId="9" fillId="0" fontId="31" numFmtId="0" xfId="0" applyAlignment="1" applyBorder="1" applyFont="1">
      <alignment readingOrder="0" vertical="bottom"/>
    </xf>
    <xf borderId="10" fillId="0" fontId="17" numFmtId="0" xfId="0" applyAlignment="1" applyBorder="1" applyFont="1">
      <alignment vertical="bottom"/>
    </xf>
    <xf borderId="11" fillId="0" fontId="17" numFmtId="0" xfId="0" applyAlignment="1" applyBorder="1" applyFont="1">
      <alignment vertical="bottom"/>
    </xf>
    <xf borderId="11" fillId="0" fontId="29" numFmtId="0" xfId="0" applyAlignment="1" applyBorder="1" applyFont="1">
      <alignment horizontal="left"/>
    </xf>
    <xf borderId="12" fillId="0" fontId="30" numFmtId="0" xfId="0" applyAlignment="1" applyBorder="1" applyFont="1">
      <alignment horizontal="right" readingOrder="0"/>
    </xf>
    <xf borderId="9" fillId="0" fontId="17" numFmtId="0" xfId="0" applyAlignment="1" applyBorder="1" applyFont="1">
      <alignment vertical="bottom"/>
    </xf>
    <xf borderId="13" fillId="0" fontId="29" numFmtId="0" xfId="0" applyAlignment="1" applyBorder="1" applyFont="1">
      <alignment horizontal="left"/>
    </xf>
    <xf borderId="14" fillId="0" fontId="29" numFmtId="0" xfId="0" applyAlignment="1" applyBorder="1" applyFont="1">
      <alignment horizontal="left"/>
    </xf>
    <xf borderId="0" fillId="0" fontId="30" numFmtId="0" xfId="0" applyAlignment="1" applyFont="1">
      <alignment horizontal="right" readingOrder="0"/>
    </xf>
    <xf borderId="11" fillId="0" fontId="30" numFmtId="0" xfId="0" applyAlignment="1" applyBorder="1" applyFont="1">
      <alignment horizontal="right" readingOrder="0"/>
    </xf>
    <xf borderId="9" fillId="0" fontId="29" numFmtId="0" xfId="0" applyAlignment="1" applyBorder="1" applyFont="1">
      <alignment horizontal="left" readingOrder="0"/>
    </xf>
    <xf borderId="0" fillId="0" fontId="32" numFmtId="0" xfId="0" applyAlignment="1" applyFont="1">
      <alignment horizontal="left" readingOrder="0"/>
    </xf>
    <xf borderId="9" fillId="0" fontId="33" numFmtId="0" xfId="0" applyAlignment="1" applyBorder="1" applyFont="1">
      <alignment horizontal="left" readingOrder="0"/>
    </xf>
    <xf borderId="15" fillId="0" fontId="30" numFmtId="0" xfId="0" applyAlignment="1" applyBorder="1" applyFont="1">
      <alignment horizontal="right" readingOrder="0"/>
    </xf>
    <xf borderId="9" fillId="0" fontId="30" numFmtId="0" xfId="0" applyAlignment="1" applyBorder="1" applyFont="1">
      <alignment horizontal="right" readingOrder="0"/>
    </xf>
    <xf borderId="10" fillId="0" fontId="30" numFmtId="0" xfId="0" applyAlignment="1" applyBorder="1" applyFont="1">
      <alignment horizontal="right" readingOrder="0"/>
    </xf>
    <xf borderId="16" fillId="0" fontId="30" numFmtId="0" xfId="0" applyAlignment="1" applyBorder="1" applyFont="1">
      <alignment horizontal="right" readingOrder="0"/>
    </xf>
    <xf borderId="0" fillId="0" fontId="34" numFmtId="0" xfId="0" applyAlignment="1" applyFont="1">
      <alignment horizontal="right" readingOrder="0"/>
    </xf>
    <xf borderId="10" fillId="0" fontId="34" numFmtId="0" xfId="0" applyAlignment="1" applyBorder="1" applyFont="1">
      <alignment horizontal="right" readingOrder="0"/>
    </xf>
    <xf borderId="5" fillId="0" fontId="29" numFmtId="0" xfId="0" applyAlignment="1" applyBorder="1" applyFont="1">
      <alignment horizontal="left"/>
    </xf>
    <xf borderId="17" fillId="0" fontId="29" numFmtId="0" xfId="0" applyAlignment="1" applyBorder="1" applyFont="1">
      <alignment horizontal="left"/>
    </xf>
    <xf borderId="9" fillId="0" fontId="35" numFmtId="0" xfId="0" applyAlignment="1" applyBorder="1" applyFont="1">
      <alignment horizontal="left" readingOrder="0"/>
    </xf>
    <xf borderId="11" fillId="0" fontId="35" numFmtId="0" xfId="0" applyAlignment="1" applyBorder="1" applyFont="1">
      <alignment horizontal="left" readingOrder="0"/>
    </xf>
    <xf borderId="0" fillId="0" fontId="36" numFmtId="0" xfId="0" applyAlignment="1" applyFont="1">
      <alignment readingOrder="0"/>
    </xf>
    <xf borderId="17" fillId="0" fontId="36" numFmtId="0" xfId="0" applyAlignment="1" applyBorder="1" applyFont="1">
      <alignment readingOrder="0"/>
    </xf>
    <xf borderId="9" fillId="0" fontId="28" numFmtId="0" xfId="0" applyAlignment="1" applyBorder="1" applyFont="1">
      <alignment horizontal="left" readingOrder="0"/>
    </xf>
    <xf borderId="0" fillId="0" fontId="28" numFmtId="0" xfId="0" applyAlignment="1" applyFont="1">
      <alignment readingOrder="0" vertical="bottom"/>
    </xf>
    <xf borderId="0" fillId="0" fontId="28" numFmtId="0" xfId="0" applyAlignment="1" applyFont="1">
      <alignment horizontal="right" readingOrder="0" vertical="bottom"/>
    </xf>
    <xf borderId="9" fillId="0" fontId="29" numFmtId="0" xfId="0" applyAlignment="1" applyBorder="1" applyFont="1">
      <alignment shrinkToFit="0" vertical="bottom" wrapText="1"/>
    </xf>
    <xf borderId="9" fillId="0" fontId="29" numFmtId="0" xfId="0" applyAlignment="1" applyBorder="1" applyFont="1">
      <alignment shrinkToFit="0" vertical="bottom" wrapText="1"/>
    </xf>
    <xf borderId="9" fillId="0" fontId="35" numFmtId="0" xfId="0" applyAlignment="1" applyBorder="1" applyFont="1">
      <alignment shrinkToFit="0" vertical="bottom" wrapText="1"/>
    </xf>
    <xf borderId="11" fillId="0" fontId="17" numFmtId="0" xfId="0" applyAlignment="1" applyBorder="1" applyFont="1">
      <alignment vertical="bottom"/>
    </xf>
    <xf borderId="12" fillId="0" fontId="30" numFmtId="0" xfId="0" applyAlignment="1" applyBorder="1" applyFont="1">
      <alignment horizontal="right" vertical="bottom"/>
    </xf>
    <xf borderId="12" fillId="0" fontId="30" numFmtId="0" xfId="0" applyAlignment="1" applyBorder="1" applyFont="1">
      <alignment horizontal="right" readingOrder="0" vertical="bottom"/>
    </xf>
    <xf borderId="16" fillId="0" fontId="17" numFmtId="0" xfId="0" applyAlignment="1" applyBorder="1" applyFont="1">
      <alignment vertical="bottom"/>
    </xf>
    <xf borderId="16" fillId="0" fontId="17" numFmtId="0" xfId="0" applyAlignment="1" applyBorder="1" applyFont="1">
      <alignment vertical="bottom"/>
    </xf>
    <xf borderId="13" fillId="0" fontId="17" numFmtId="0" xfId="0" applyAlignment="1" applyBorder="1" applyFont="1">
      <alignment vertical="bottom"/>
    </xf>
    <xf borderId="14" fillId="0" fontId="17" numFmtId="0" xfId="0" applyAlignment="1" applyBorder="1" applyFont="1">
      <alignment vertical="bottom"/>
    </xf>
    <xf borderId="9" fillId="0" fontId="37" numFmtId="0" xfId="0" applyAlignment="1" applyBorder="1" applyFont="1">
      <alignment horizontal="left" readingOrder="0"/>
    </xf>
    <xf borderId="11" fillId="0" fontId="29" numFmtId="0" xfId="0" applyAlignment="1" applyBorder="1" applyFont="1">
      <alignment horizontal="left" readingOrder="0"/>
    </xf>
    <xf borderId="8" fillId="0" fontId="30" numFmtId="0" xfId="0" applyAlignment="1" applyBorder="1" applyFont="1">
      <alignment horizontal="right" readingOrder="0" vertical="bottom"/>
    </xf>
    <xf borderId="9" fillId="0" fontId="31" numFmtId="0" xfId="0" applyAlignment="1" applyBorder="1" applyFont="1">
      <alignment readingOrder="0" shrinkToFit="0" vertical="bottom" wrapText="1"/>
    </xf>
    <xf borderId="10" fillId="0" fontId="31" numFmtId="0" xfId="0" applyAlignment="1" applyBorder="1" applyFont="1">
      <alignment readingOrder="0" shrinkToFit="0" vertical="bottom" wrapText="1"/>
    </xf>
    <xf borderId="9" fillId="0" fontId="35" numFmtId="0" xfId="0" applyAlignment="1" applyBorder="1" applyFont="1">
      <alignment horizontal="left" readingOrder="0" shrinkToFit="0" wrapText="1"/>
    </xf>
    <xf borderId="8" fillId="0" fontId="34" numFmtId="0" xfId="0" applyAlignment="1" applyBorder="1" applyFont="1">
      <alignment horizontal="right" readingOrder="0"/>
    </xf>
    <xf borderId="13" fillId="0" fontId="29" numFmtId="0" xfId="0" applyAlignment="1" applyBorder="1" applyFont="1">
      <alignment horizontal="left" readingOrder="0"/>
    </xf>
    <xf borderId="0" fillId="0" fontId="29" numFmtId="0" xfId="0" applyAlignment="1" applyFont="1">
      <alignment horizontal="left" readingOrder="0" shrinkToFit="0" wrapText="1"/>
    </xf>
    <xf borderId="0" fillId="0" fontId="31" numFmtId="0" xfId="0" applyAlignment="1" applyFont="1">
      <alignment readingOrder="0" vertical="bottom"/>
    </xf>
    <xf borderId="5" fillId="0" fontId="38" numFmtId="0" xfId="0" applyAlignment="1" applyBorder="1" applyFont="1">
      <alignment readingOrder="0" shrinkToFit="0" wrapText="1"/>
    </xf>
    <xf borderId="9" fillId="0" fontId="35" numFmtId="0" xfId="0" applyAlignment="1" applyBorder="1" applyFont="1">
      <alignment horizontal="right" readingOrder="0"/>
    </xf>
    <xf borderId="0" fillId="0" fontId="17" numFmtId="20" xfId="0" applyAlignment="1" applyFont="1" applyNumberFormat="1">
      <alignment vertical="bottom"/>
    </xf>
    <xf borderId="0" fillId="19" fontId="28" numFmtId="0" xfId="0" applyAlignment="1" applyFill="1" applyFont="1">
      <alignment horizontal="right" readingOrder="0"/>
    </xf>
    <xf borderId="7" fillId="20" fontId="27" numFmtId="0" xfId="0" applyAlignment="1" applyBorder="1" applyFill="1" applyFont="1">
      <alignment horizontal="center" readingOrder="0"/>
    </xf>
    <xf borderId="7" fillId="19" fontId="27" numFmtId="0" xfId="0" applyAlignment="1" applyBorder="1" applyFont="1">
      <alignment horizontal="center" readingOrder="0"/>
    </xf>
    <xf borderId="8" fillId="19" fontId="30" numFmtId="0" xfId="0" applyAlignment="1" applyBorder="1" applyFont="1">
      <alignment horizontal="right" readingOrder="0"/>
    </xf>
    <xf borderId="0" fillId="21" fontId="4" numFmtId="0" xfId="0" applyAlignment="1" applyFill="1" applyFont="1">
      <alignment readingOrder="0"/>
    </xf>
    <xf borderId="9" fillId="19" fontId="29" numFmtId="0" xfId="0" applyAlignment="1" applyBorder="1" applyFont="1">
      <alignment horizontal="left"/>
    </xf>
    <xf borderId="0" fillId="22" fontId="4" numFmtId="0" xfId="0" applyAlignment="1" applyFill="1" applyFont="1">
      <alignment readingOrder="0"/>
    </xf>
    <xf borderId="0" fillId="23" fontId="4" numFmtId="0" xfId="0" applyAlignment="1" applyFill="1" applyFont="1">
      <alignment readingOrder="0"/>
    </xf>
    <xf borderId="0" fillId="24" fontId="4" numFmtId="0" xfId="0" applyAlignment="1" applyFill="1" applyFont="1">
      <alignment readingOrder="0"/>
    </xf>
    <xf borderId="8" fillId="21" fontId="30" numFmtId="0" xfId="0" applyAlignment="1" applyBorder="1" applyFont="1">
      <alignment horizontal="right" readingOrder="0"/>
    </xf>
    <xf borderId="8" fillId="22" fontId="30" numFmtId="0" xfId="0" applyAlignment="1" applyBorder="1" applyFont="1">
      <alignment horizontal="right" readingOrder="0"/>
    </xf>
    <xf borderId="8" fillId="23" fontId="30" numFmtId="0" xfId="0" applyAlignment="1" applyBorder="1" applyFont="1">
      <alignment horizontal="right" readingOrder="0"/>
    </xf>
    <xf borderId="0" fillId="25" fontId="4" numFmtId="0" xfId="0" applyAlignment="1" applyFill="1" applyFont="1">
      <alignment readingOrder="0"/>
    </xf>
    <xf borderId="9" fillId="23" fontId="33" numFmtId="0" xfId="0" applyAlignment="1" applyBorder="1" applyFont="1">
      <alignment horizontal="left" readingOrder="0"/>
    </xf>
    <xf borderId="9" fillId="19" fontId="35" numFmtId="0" xfId="0" applyAlignment="1" applyBorder="1" applyFont="1">
      <alignment horizontal="left" readingOrder="0"/>
    </xf>
    <xf borderId="0" fillId="26" fontId="4" numFmtId="0" xfId="0" applyAlignment="1" applyFill="1" applyFont="1">
      <alignment readingOrder="0"/>
    </xf>
    <xf borderId="0" fillId="27" fontId="4" numFmtId="0" xfId="0" applyAlignment="1" applyFill="1" applyFont="1">
      <alignment readingOrder="0"/>
    </xf>
    <xf borderId="0" fillId="28" fontId="4" numFmtId="0" xfId="0" applyAlignment="1" applyFill="1" applyFont="1">
      <alignment readingOrder="0"/>
    </xf>
    <xf borderId="0" fillId="17" fontId="36" numFmtId="0" xfId="0" applyAlignment="1" applyFont="1">
      <alignment readingOrder="0"/>
    </xf>
    <xf borderId="0" fillId="19" fontId="29" numFmtId="0" xfId="0" applyAlignment="1" applyFont="1">
      <alignment horizontal="left"/>
    </xf>
    <xf borderId="0" fillId="23" fontId="29" numFmtId="0" xfId="0" applyAlignment="1" applyFont="1">
      <alignment horizontal="left"/>
    </xf>
    <xf borderId="8" fillId="24" fontId="30" numFmtId="0" xfId="0" applyAlignment="1" applyBorder="1" applyFont="1">
      <alignment horizontal="right" readingOrder="0"/>
    </xf>
    <xf borderId="9" fillId="24" fontId="33" numFmtId="0" xfId="0" applyAlignment="1" applyBorder="1" applyFont="1">
      <alignment horizontal="left" readingOrder="0"/>
    </xf>
    <xf borderId="8" fillId="25" fontId="30" numFmtId="0" xfId="0" applyAlignment="1" applyBorder="1" applyFont="1">
      <alignment horizontal="right" readingOrder="0"/>
    </xf>
    <xf borderId="0" fillId="29" fontId="29" numFmtId="0" xfId="0" applyAlignment="1" applyFill="1" applyFont="1">
      <alignment horizontal="left"/>
    </xf>
    <xf borderId="9" fillId="29" fontId="29" numFmtId="0" xfId="0" applyAlignment="1" applyBorder="1" applyFont="1">
      <alignment horizontal="left"/>
    </xf>
    <xf borderId="9" fillId="25" fontId="37" numFmtId="0" xfId="0" applyAlignment="1" applyBorder="1" applyFont="1">
      <alignment horizontal="left" readingOrder="0"/>
    </xf>
    <xf borderId="8" fillId="0" fontId="29" numFmtId="0" xfId="0" applyAlignment="1" applyBorder="1" applyFont="1">
      <alignment horizontal="left"/>
    </xf>
    <xf borderId="0" fillId="0" fontId="29" numFmtId="0" xfId="0" applyAlignment="1" applyFont="1">
      <alignment horizontal="left" readingOrder="0"/>
    </xf>
    <xf borderId="8" fillId="28" fontId="30" numFmtId="0" xfId="0" applyAlignment="1" applyBorder="1" applyFont="1">
      <alignment horizontal="right" readingOrder="0"/>
    </xf>
    <xf borderId="0" fillId="17" fontId="32" numFmtId="0" xfId="0" applyAlignment="1" applyFont="1">
      <alignment horizontal="left" readingOrder="0"/>
    </xf>
    <xf borderId="9" fillId="28" fontId="33" numFmtId="0" xfId="0" applyAlignment="1" applyBorder="1" applyFont="1">
      <alignment horizontal="left" readingOrder="0"/>
    </xf>
    <xf borderId="18" fillId="30" fontId="39" numFmtId="0" xfId="0" applyAlignment="1" applyBorder="1" applyFill="1" applyFont="1">
      <alignment vertical="bottom"/>
    </xf>
    <xf borderId="19" fillId="30" fontId="40" numFmtId="0" xfId="0" applyAlignment="1" applyBorder="1" applyFont="1">
      <alignment horizontal="left" readingOrder="0" vertical="bottom"/>
    </xf>
    <xf borderId="19" fillId="0" fontId="41" numFmtId="0" xfId="0" applyBorder="1" applyFont="1"/>
    <xf borderId="19" fillId="30" fontId="42" numFmtId="0" xfId="0" applyAlignment="1" applyBorder="1" applyFont="1">
      <alignment horizontal="right" readingOrder="0" vertical="bottom"/>
    </xf>
    <xf borderId="20" fillId="30" fontId="39" numFmtId="0" xfId="0" applyAlignment="1" applyBorder="1" applyFont="1">
      <alignment vertical="bottom"/>
    </xf>
    <xf borderId="21" fillId="30" fontId="43" numFmtId="0" xfId="0" applyAlignment="1" applyBorder="1" applyFont="1">
      <alignment horizontal="left" vertical="top"/>
    </xf>
    <xf borderId="0" fillId="30" fontId="43" numFmtId="0" xfId="0" applyAlignment="1" applyFont="1">
      <alignment horizontal="left" readingOrder="0" vertical="top"/>
    </xf>
    <xf borderId="0" fillId="30" fontId="44" numFmtId="173" xfId="0" applyAlignment="1" applyFont="1" applyNumberFormat="1">
      <alignment horizontal="left" readingOrder="0" vertical="top"/>
    </xf>
    <xf borderId="0" fillId="30" fontId="43" numFmtId="174" xfId="0" applyAlignment="1" applyFont="1" applyNumberFormat="1">
      <alignment horizontal="left" vertical="top"/>
    </xf>
    <xf borderId="0" fillId="30" fontId="42" numFmtId="0" xfId="0" applyAlignment="1" applyFont="1">
      <alignment horizontal="right" readingOrder="0" vertical="top"/>
    </xf>
    <xf borderId="22" fillId="30" fontId="43" numFmtId="0" xfId="0" applyAlignment="1" applyBorder="1" applyFont="1">
      <alignment horizontal="left" vertical="top"/>
    </xf>
    <xf borderId="0" fillId="0" fontId="45" numFmtId="174" xfId="0" applyAlignment="1" applyFont="1" applyNumberFormat="1">
      <alignment vertical="bottom"/>
    </xf>
    <xf borderId="0" fillId="0" fontId="45" numFmtId="175" xfId="0" applyAlignment="1" applyFont="1" applyNumberFormat="1">
      <alignment horizontal="center" readingOrder="0" vertical="bottom"/>
    </xf>
    <xf borderId="0" fillId="0" fontId="45" numFmtId="175" xfId="0" applyAlignment="1" applyFont="1" applyNumberFormat="1">
      <alignment horizontal="center" vertical="bottom"/>
    </xf>
    <xf borderId="0" fillId="0" fontId="46" numFmtId="0" xfId="0" applyAlignment="1" applyFont="1">
      <alignment vertical="bottom"/>
    </xf>
    <xf borderId="23" fillId="0" fontId="46" numFmtId="0" xfId="0" applyAlignment="1" applyBorder="1" applyFont="1">
      <alignment vertical="bottom"/>
    </xf>
    <xf borderId="23" fillId="0" fontId="47" numFmtId="0" xfId="0" applyAlignment="1" applyBorder="1" applyFont="1">
      <alignment horizontal="center" vertical="top"/>
    </xf>
    <xf borderId="24" fillId="0" fontId="48" numFmtId="0" xfId="0" applyAlignment="1" applyBorder="1" applyFont="1">
      <alignment vertical="center"/>
    </xf>
    <xf borderId="25" fillId="31" fontId="46" numFmtId="176" xfId="0" applyAlignment="1" applyBorder="1" applyFill="1" applyFont="1" applyNumberFormat="1">
      <alignment horizontal="right" readingOrder="0" shrinkToFit="0" vertical="center" wrapText="1"/>
    </xf>
    <xf borderId="25" fillId="31" fontId="49" numFmtId="0" xfId="0" applyAlignment="1" applyBorder="1" applyFont="1">
      <alignment readingOrder="0" shrinkToFit="0" vertical="center" wrapText="1"/>
    </xf>
    <xf borderId="25" fillId="31" fontId="49" numFmtId="0" xfId="0" applyAlignment="1" applyBorder="1" applyFont="1">
      <alignment shrinkToFit="0" vertical="center" wrapText="1"/>
    </xf>
    <xf borderId="0" fillId="0" fontId="49" numFmtId="0" xfId="0" applyAlignment="1" applyFont="1">
      <alignment vertical="center"/>
    </xf>
    <xf borderId="25" fillId="0" fontId="46" numFmtId="176" xfId="0" applyAlignment="1" applyBorder="1" applyFont="1" applyNumberFormat="1">
      <alignment horizontal="right" readingOrder="0" shrinkToFit="0" vertical="center" wrapText="1"/>
    </xf>
    <xf borderId="25" fillId="0" fontId="49" numFmtId="0" xfId="0" applyAlignment="1" applyBorder="1" applyFont="1">
      <alignment readingOrder="0" shrinkToFit="0" vertical="center" wrapText="1"/>
    </xf>
    <xf borderId="25" fillId="0" fontId="49" numFmtId="0" xfId="0" applyAlignment="1" applyBorder="1" applyFont="1">
      <alignment shrinkToFit="0" vertical="center" wrapText="1"/>
    </xf>
    <xf borderId="25" fillId="17" fontId="49" numFmtId="0" xfId="0" applyAlignment="1" applyBorder="1" applyFont="1">
      <alignment shrinkToFit="0" vertical="center" wrapText="1"/>
    </xf>
    <xf borderId="25" fillId="17" fontId="49" numFmtId="0" xfId="0" applyAlignment="1" applyBorder="1" applyFont="1">
      <alignment readingOrder="0" shrinkToFit="0" vertical="center" wrapText="1"/>
    </xf>
    <xf borderId="0" fillId="17" fontId="49" numFmtId="0" xfId="0" applyAlignment="1" applyFont="1">
      <alignment vertical="center"/>
    </xf>
    <xf borderId="24" fillId="0" fontId="49" numFmtId="0" xfId="0" applyAlignment="1" applyBorder="1" applyFont="1">
      <alignment shrinkToFit="0" vertical="center" wrapText="1"/>
    </xf>
    <xf borderId="24" fillId="0" fontId="49" numFmtId="0" xfId="0" applyAlignment="1" applyBorder="1" applyFont="1">
      <alignment readingOrder="0" shrinkToFit="0" vertical="center" wrapText="1"/>
    </xf>
    <xf borderId="24" fillId="0" fontId="46" numFmtId="176" xfId="0" applyAlignment="1" applyBorder="1" applyFont="1" applyNumberFormat="1">
      <alignment horizontal="right" readingOrder="0" shrinkToFit="0" vertical="center" wrapText="1"/>
    </xf>
    <xf borderId="0" fillId="31" fontId="50" numFmtId="0" xfId="0" applyAlignment="1" applyFont="1">
      <alignment horizontal="left" readingOrder="0"/>
    </xf>
    <xf borderId="0" fillId="30" fontId="48" numFmtId="0" xfId="0" applyAlignment="1" applyFont="1">
      <alignment shrinkToFit="0" vertical="center" wrapText="1"/>
    </xf>
    <xf borderId="0" fillId="30" fontId="48" numFmtId="177" xfId="0" applyAlignment="1" applyFont="1" applyNumberFormat="1">
      <alignment shrinkToFit="0" vertical="center" wrapText="1"/>
    </xf>
    <xf borderId="0" fillId="0" fontId="27" numFmtId="0" xfId="0" applyAlignment="1" applyFont="1">
      <alignment horizontal="center" readingOrder="0"/>
    </xf>
    <xf borderId="0" fillId="0" fontId="29" numFmtId="0" xfId="0" applyAlignment="1" applyFont="1">
      <alignment horizontal="center"/>
    </xf>
    <xf borderId="8" fillId="19" fontId="29" numFmtId="0" xfId="0" applyAlignment="1" applyBorder="1" applyFont="1">
      <alignment horizontal="left"/>
    </xf>
    <xf borderId="0" fillId="0" fontId="35" numFmtId="20" xfId="0" applyAlignment="1" applyFont="1" applyNumberFormat="1">
      <alignment horizontal="right" readingOrder="0"/>
    </xf>
    <xf borderId="0" fillId="0" fontId="29" numFmtId="0" xfId="0" applyAlignment="1" applyFont="1">
      <alignment horizontal="right" readingOrder="0"/>
    </xf>
    <xf borderId="8" fillId="0" fontId="35" numFmtId="0" xfId="0" applyAlignment="1" applyBorder="1" applyFont="1">
      <alignment horizontal="left" readingOrder="0"/>
    </xf>
    <xf borderId="0" fillId="18" fontId="35" numFmtId="20" xfId="0" applyAlignment="1" applyFont="1" applyNumberFormat="1">
      <alignment horizontal="right" readingOrder="0"/>
    </xf>
    <xf borderId="0" fillId="0" fontId="51" numFmtId="0" xfId="0" applyAlignment="1" applyFont="1">
      <alignment horizontal="left" readingOrder="0"/>
    </xf>
    <xf borderId="0" fillId="0" fontId="29" numFmtId="20" xfId="0" applyAlignment="1" applyFont="1" applyNumberFormat="1">
      <alignment horizontal="right" readingOrder="0"/>
    </xf>
    <xf borderId="0" fillId="0" fontId="29" numFmtId="3" xfId="0" applyAlignment="1" applyFont="1" applyNumberFormat="1">
      <alignment horizontal="right" readingOrder="0"/>
    </xf>
    <xf borderId="0" fillId="0" fontId="52" numFmtId="0" xfId="0" applyAlignment="1" applyFont="1">
      <alignment horizontal="left" readingOrder="0"/>
    </xf>
    <xf borderId="0" fillId="0" fontId="52" numFmtId="0" xfId="0" applyAlignment="1" applyFont="1">
      <alignment horizontal="right" readingOrder="0"/>
    </xf>
  </cellXfs>
  <cellStyles count="1">
    <cellStyle xfId="0" name="Normal" builtinId="0"/>
  </cellStyles>
  <dxfs count="7">
    <dxf>
      <font>
        <color rgb="FFFFFFFF"/>
      </font>
      <fill>
        <patternFill patternType="solid">
          <fgColor rgb="FF274E13"/>
          <bgColor rgb="FF274E13"/>
        </patternFill>
      </fill>
      <border/>
    </dxf>
    <dxf>
      <font>
        <color rgb="FFFFFFFF"/>
      </font>
      <fill>
        <patternFill patternType="solid">
          <fgColor rgb="FF0000FF"/>
          <bgColor rgb="FF0000FF"/>
        </patternFill>
      </fill>
      <border/>
    </dxf>
    <dxf>
      <font>
        <color rgb="FFFFFFFF"/>
      </font>
      <fill>
        <patternFill patternType="solid">
          <fgColor rgb="FF76A5AF"/>
          <bgColor rgb="FF76A5AF"/>
        </patternFill>
      </fill>
      <border/>
    </dxf>
    <dxf>
      <font>
        <color rgb="FFFFFFFF"/>
      </font>
      <fill>
        <patternFill patternType="solid">
          <fgColor rgb="FFFF0000"/>
          <bgColor rgb="FFFF0000"/>
        </patternFill>
      </fill>
      <border/>
    </dxf>
    <dxf>
      <font>
        <color rgb="FFFFFFFF"/>
      </font>
      <fill>
        <patternFill patternType="solid">
          <fgColor rgb="FFCCCCCC"/>
          <bgColor rgb="FFCCCCCC"/>
        </patternFill>
      </fill>
      <border/>
    </dxf>
    <dxf>
      <font>
        <color rgb="FF00FF00"/>
      </font>
      <fill>
        <patternFill patternType="solid">
          <fgColor rgb="FF00FF00"/>
          <bgColor rgb="FF00FF00"/>
        </patternFill>
      </fill>
      <border/>
    </dxf>
    <dxf>
      <font>
        <color rgb="FFFF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spPr>
            <a:solidFill>
              <a:srgbClr val="4285F4">
                <a:alpha val="0"/>
              </a:srgbClr>
            </a:solidFill>
            <a:ln cmpd="sng">
              <a:solidFill>
                <a:srgbClr val="000000">
                  <a:alpha val="0"/>
                </a:srgbClr>
              </a:solidFill>
            </a:ln>
          </c:spPr>
          <c:cat>
            <c:strRef>
              <c:f>'1630-1740'!$A$14:$A$25</c:f>
            </c:strRef>
          </c:cat>
          <c:val>
            <c:numRef>
              <c:f>'1630-1740'!$B$14:$B$25</c:f>
              <c:numCache/>
            </c:numRef>
          </c:val>
        </c:ser>
        <c:ser>
          <c:idx val="1"/>
          <c:order val="1"/>
          <c:spPr>
            <a:solidFill>
              <a:schemeClr val="accent2"/>
            </a:solidFill>
            <a:ln cmpd="sng">
              <a:solidFill>
                <a:srgbClr val="000000">
                  <a:alpha val="0"/>
                </a:srgbClr>
              </a:solidFill>
            </a:ln>
          </c:spPr>
          <c:dPt>
            <c:idx val="0"/>
            <c:spPr>
              <a:solidFill>
                <a:srgbClr val="00FF00"/>
              </a:solidFill>
              <a:ln cmpd="sng">
                <a:solidFill>
                  <a:srgbClr val="000000"/>
                </a:solidFill>
              </a:ln>
            </c:spPr>
          </c:dPt>
          <c:dPt>
            <c:idx val="1"/>
            <c:spPr>
              <a:solidFill>
                <a:srgbClr val="FF0000"/>
              </a:solidFill>
              <a:ln cmpd="sng">
                <a:solidFill>
                  <a:srgbClr val="000000"/>
                </a:solidFill>
              </a:ln>
            </c:spPr>
          </c:dPt>
          <c:dPt>
            <c:idx val="2"/>
            <c:spPr>
              <a:solidFill>
                <a:srgbClr val="FF0000"/>
              </a:solidFill>
              <a:ln cmpd="sng">
                <a:solidFill>
                  <a:srgbClr val="000000"/>
                </a:solidFill>
              </a:ln>
            </c:spPr>
          </c:dPt>
          <c:dPt>
            <c:idx val="3"/>
            <c:spPr>
              <a:solidFill>
                <a:srgbClr val="00FF00"/>
              </a:solidFill>
              <a:ln cmpd="sng">
                <a:solidFill>
                  <a:srgbClr val="000000"/>
                </a:solidFill>
              </a:ln>
            </c:spPr>
          </c:dPt>
          <c:dPt>
            <c:idx val="4"/>
            <c:spPr>
              <a:solidFill>
                <a:srgbClr val="FF9900"/>
              </a:solidFill>
              <a:ln cmpd="sng">
                <a:solidFill>
                  <a:srgbClr val="000000"/>
                </a:solidFill>
              </a:ln>
            </c:spPr>
          </c:dPt>
          <c:dPt>
            <c:idx val="5"/>
            <c:spPr>
              <a:solidFill>
                <a:srgbClr val="FF9900"/>
              </a:solidFill>
              <a:ln cmpd="sng">
                <a:solidFill>
                  <a:srgbClr val="000000"/>
                </a:solidFill>
              </a:ln>
            </c:spPr>
          </c:dPt>
          <c:dPt>
            <c:idx val="6"/>
            <c:spPr>
              <a:solidFill>
                <a:srgbClr val="FF9900"/>
              </a:solidFill>
              <a:ln cmpd="sng">
                <a:solidFill>
                  <a:srgbClr val="000000"/>
                </a:solidFill>
              </a:ln>
            </c:spPr>
          </c:dPt>
          <c:dPt>
            <c:idx val="7"/>
            <c:spPr>
              <a:solidFill>
                <a:srgbClr val="000000"/>
              </a:solidFill>
              <a:ln cmpd="sng">
                <a:solidFill>
                  <a:srgbClr val="000000"/>
                </a:solidFill>
              </a:ln>
            </c:spPr>
          </c:dPt>
          <c:dPt>
            <c:idx val="8"/>
            <c:spPr>
              <a:solidFill>
                <a:srgbClr val="000000"/>
              </a:solidFill>
              <a:ln cmpd="sng">
                <a:solidFill>
                  <a:srgbClr val="000000"/>
                </a:solidFill>
              </a:ln>
            </c:spPr>
          </c:dPt>
          <c:dPt>
            <c:idx val="9"/>
            <c:spPr>
              <a:solidFill>
                <a:srgbClr val="000000"/>
              </a:solidFill>
              <a:ln cmpd="sng">
                <a:solidFill>
                  <a:srgbClr val="000000"/>
                </a:solidFill>
              </a:ln>
            </c:spPr>
          </c:dPt>
          <c:dPt>
            <c:idx val="10"/>
            <c:spPr>
              <a:solidFill>
                <a:srgbClr val="000000"/>
              </a:solidFill>
              <a:ln cmpd="sng">
                <a:solidFill>
                  <a:srgbClr val="000000"/>
                </a:solidFill>
              </a:ln>
            </c:spPr>
          </c:dPt>
          <c:dPt>
            <c:idx val="11"/>
            <c:spPr>
              <a:solidFill>
                <a:srgbClr val="000000"/>
              </a:solidFill>
              <a:ln cmpd="sng">
                <a:solidFill>
                  <a:srgbClr val="000000"/>
                </a:solidFill>
              </a:ln>
            </c:spPr>
          </c:dPt>
          <c:cat>
            <c:strRef>
              <c:f>'1630-1740'!$A$14:$A$25</c:f>
            </c:strRef>
          </c:cat>
          <c:val>
            <c:numRef>
              <c:f>'1630-1740'!$D$14:$D$25</c:f>
              <c:numCache/>
            </c:numRef>
          </c:val>
        </c:ser>
        <c:overlap val="100"/>
        <c:axId val="1842137571"/>
        <c:axId val="1399408085"/>
      </c:barChart>
      <c:catAx>
        <c:axId val="18421375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200">
                <a:solidFill>
                  <a:srgbClr val="000000"/>
                </a:solidFill>
                <a:latin typeface="sans-serif"/>
              </a:defRPr>
            </a:pPr>
          </a:p>
        </c:txPr>
        <c:crossAx val="1399408085"/>
      </c:catAx>
      <c:valAx>
        <c:axId val="1399408085"/>
        <c:scaling>
          <c:orientation val="minMax"/>
          <c:max val="17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2137571"/>
        <c:crosses val="max"/>
      </c:valAx>
    </c:plotArea>
    <c:plotVisOnly val="1"/>
  </c:chart>
</c:chartSpace>
</file>

<file path=xl/drawings/_rels/drawing2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724650" cy="2190750"/>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onsvoorgeslacht.nl/wp-content/uploads/2024/08/Geld-en-oude-munten-in-Nederland-V2.pdf" TargetMode="External"/><Relationship Id="rId42" Type="http://schemas.openxmlformats.org/officeDocument/2006/relationships/hyperlink" Target="https://nl.wikipedia.org/wiki/Schuldslavernij" TargetMode="External"/><Relationship Id="rId41" Type="http://schemas.openxmlformats.org/officeDocument/2006/relationships/hyperlink" Target="https://nl.wikipedia.org/wiki/Feodaliteit" TargetMode="External"/><Relationship Id="rId44" Type="http://schemas.openxmlformats.org/officeDocument/2006/relationships/hyperlink" Target="https://nl.wikipedia.org/wiki/Vrouwenrechten" TargetMode="External"/><Relationship Id="rId43" Type="http://schemas.openxmlformats.org/officeDocument/2006/relationships/hyperlink" Target="https://www.deverhalenvangroningen.nl/alle-verhalen/ongelijkheid-in-het-oldambt" TargetMode="External"/><Relationship Id="rId46" Type="http://schemas.openxmlformats.org/officeDocument/2006/relationships/hyperlink" Target="https://nl.wikipedia.org/wiki/Begijnen" TargetMode="External"/><Relationship Id="rId45" Type="http://schemas.openxmlformats.org/officeDocument/2006/relationships/hyperlink" Target="http://www.stellingwerven.dds.nl/index17e/economie/grond1b.htm" TargetMode="External"/><Relationship Id="rId107" Type="http://schemas.openxmlformats.org/officeDocument/2006/relationships/hyperlink" Target="https://en.wikipedia.org/wiki/History_of_nudity" TargetMode="External"/><Relationship Id="rId106" Type="http://schemas.openxmlformats.org/officeDocument/2006/relationships/hyperlink" Target="https://www.museumaacm.org/newsletters/newsletter03032021.html" TargetMode="External"/><Relationship Id="rId105" Type="http://schemas.openxmlformats.org/officeDocument/2006/relationships/hyperlink" Target="https://en.wikipedia.org/wiki/Philippus_Baldaeus" TargetMode="External"/><Relationship Id="rId104" Type="http://schemas.openxmlformats.org/officeDocument/2006/relationships/hyperlink" Target="https://puducherry-dt.gov.in/history/" TargetMode="External"/><Relationship Id="rId109" Type="http://schemas.openxmlformats.org/officeDocument/2006/relationships/hyperlink" Target="https://www.riahorter.com/OH01_Jacht_in_de_middeleeuwen.pdf" TargetMode="External"/><Relationship Id="rId108" Type="http://schemas.openxmlformats.org/officeDocument/2006/relationships/hyperlink" Target="https://scholarlypublications.universiteitleiden.nl/access/item:3076495/view" TargetMode="External"/><Relationship Id="rId48" Type="http://schemas.openxmlformats.org/officeDocument/2006/relationships/hyperlink" Target="https://www.onderwijsmuseum.nl/files/2015-06/1433850529_geschiedenis_van_het_onderwijs_versie_juni_2015_.pdf" TargetMode="External"/><Relationship Id="rId47" Type="http://schemas.openxmlformats.org/officeDocument/2006/relationships/hyperlink" Target="https://www.dbnl.org/tekst/bart001cijf02_01/bart001cijf02_01_0004.php" TargetMode="External"/><Relationship Id="rId186" Type="http://schemas.openxmlformats.org/officeDocument/2006/relationships/drawing" Target="../drawings/drawing9.xml"/><Relationship Id="rId185" Type="http://schemas.openxmlformats.org/officeDocument/2006/relationships/hyperlink" Target="https://nl.wikipedia.org/wiki/Prinsbisdom_M%C3%BCnster" TargetMode="External"/><Relationship Id="rId49" Type="http://schemas.openxmlformats.org/officeDocument/2006/relationships/hyperlink" Target="https://nl.wikipedia.org/wiki/Pandemonium_(stad)" TargetMode="External"/><Relationship Id="rId184" Type="http://schemas.openxmlformats.org/officeDocument/2006/relationships/hyperlink" Target="https://nl.wikipedia.org/wiki/Prinsbisdom_M%C3%BCnster" TargetMode="External"/><Relationship Id="rId103" Type="http://schemas.openxmlformats.org/officeDocument/2006/relationships/hyperlink" Target="https://nl.wikipedia.org/w/index.php?title=Categorie:17e-eeuws_filosoof" TargetMode="External"/><Relationship Id="rId102" Type="http://schemas.openxmlformats.org/officeDocument/2006/relationships/hyperlink" Target="https://www.nrc.nl/nieuws/1995/02/11/kwalijke-dampen-in-oud-batavia-7256378-a76989" TargetMode="External"/><Relationship Id="rId101" Type="http://schemas.openxmlformats.org/officeDocument/2006/relationships/hyperlink" Target="https://www.zeeuwsarchief.nl/zeeuwse-verhalen/verenigde-oostindische-compagnie-kamer-zeeland/chirurgijn-bij-de-voc/" TargetMode="External"/><Relationship Id="rId100" Type="http://schemas.openxmlformats.org/officeDocument/2006/relationships/hyperlink" Target="https://nl.wikipedia.org/wiki/Oranjerie" TargetMode="External"/><Relationship Id="rId31" Type="http://schemas.openxmlformats.org/officeDocument/2006/relationships/hyperlink" Target="https://www.dbnl.org/tekst/swar014will01_01/swar014will01_01_0008.php" TargetMode="External"/><Relationship Id="rId30" Type="http://schemas.openxmlformats.org/officeDocument/2006/relationships/hyperlink" Target="https://npokennis.nl/longread/7800/wat-zijn-de-voor-en-nadelen-van-thuis-bevallen" TargetMode="External"/><Relationship Id="rId33" Type="http://schemas.openxmlformats.org/officeDocument/2006/relationships/hyperlink" Target="https://anw.ivdnt.org/article/lijfeigene" TargetMode="External"/><Relationship Id="rId183" Type="http://schemas.openxmlformats.org/officeDocument/2006/relationships/hyperlink" Target="https://nl.wikipedia.org/wiki/Prinsbisdom_M%C3%BCnster" TargetMode="External"/><Relationship Id="rId32" Type="http://schemas.openxmlformats.org/officeDocument/2006/relationships/hyperlink" Target="https://cris.maastrichtuniversity.nl/ws/portalfiles/portal/88550922/Studies_over_de_sociaal_economische_geschiedenis_van_Limburg_XL.pdf" TargetMode="External"/><Relationship Id="rId182" Type="http://schemas.openxmlformats.org/officeDocument/2006/relationships/hyperlink" Target="https://nl.wikipedia.org/wiki/Prinsbisdom_M%C3%BCnster" TargetMode="External"/><Relationship Id="rId35" Type="http://schemas.openxmlformats.org/officeDocument/2006/relationships/hyperlink" Target="https://nl.wikipedia.org/wiki/Ellert_en_Brammert" TargetMode="External"/><Relationship Id="rId181" Type="http://schemas.openxmlformats.org/officeDocument/2006/relationships/hyperlink" Target="https://nl.wikipedia.org/wiki/Prinsbisdom_M%C3%BCnster" TargetMode="External"/><Relationship Id="rId34" Type="http://schemas.openxmlformats.org/officeDocument/2006/relationships/hyperlink" Target="https://meertenspublicaties.meertens.knaw.nl/pdf/vb/002_VB_1975_1.1.pdf" TargetMode="External"/><Relationship Id="rId180" Type="http://schemas.openxmlformats.org/officeDocument/2006/relationships/hyperlink" Target="https://nl.wikipedia.org/wiki/Prinsbisdom_M%C3%BCnster" TargetMode="External"/><Relationship Id="rId37" Type="http://schemas.openxmlformats.org/officeDocument/2006/relationships/hyperlink" Target="https://arno.uvt.nl/show.cgi?fid=128683" TargetMode="External"/><Relationship Id="rId176" Type="http://schemas.openxmlformats.org/officeDocument/2006/relationships/hyperlink" Target="https://nl.wikipedia.org/wiki/Prinsbisdom_M%C3%BCnster" TargetMode="External"/><Relationship Id="rId36" Type="http://schemas.openxmlformats.org/officeDocument/2006/relationships/hyperlink" Target="https://historianet.nl/maatschappij/is-huiselijk-geweld-ooit-legaal-geweest" TargetMode="External"/><Relationship Id="rId175" Type="http://schemas.openxmlformats.org/officeDocument/2006/relationships/hyperlink" Target="https://nl.wikipedia.org/wiki/Prinsbisdom_M%C3%BCnster" TargetMode="External"/><Relationship Id="rId39" Type="http://schemas.openxmlformats.org/officeDocument/2006/relationships/hyperlink" Target="https://nl.wikipedia.org/wiki/Westerse_kostuumgeschiedenis" TargetMode="External"/><Relationship Id="rId174" Type="http://schemas.openxmlformats.org/officeDocument/2006/relationships/hyperlink" Target="https://catholic-hierarchy.org/bishop/bpzl.html" TargetMode="External"/><Relationship Id="rId38" Type="http://schemas.openxmlformats.org/officeDocument/2006/relationships/hyperlink" Target="https://www.bol.com/nl/nl/s/?searchtext=The+Gentleman%27s+Daughter" TargetMode="External"/><Relationship Id="rId173" Type="http://schemas.openxmlformats.org/officeDocument/2006/relationships/hyperlink" Target="https://catholic-hierarchy.org/bishop/bpzl.html" TargetMode="External"/><Relationship Id="rId179" Type="http://schemas.openxmlformats.org/officeDocument/2006/relationships/hyperlink" Target="https://nl.wikipedia.org/wiki/Prinsbisdom_M%C3%BCnster" TargetMode="External"/><Relationship Id="rId178" Type="http://schemas.openxmlformats.org/officeDocument/2006/relationships/hyperlink" Target="https://nl.wikipedia.org/wiki/Prinsbisdom_M%C3%BCnster" TargetMode="External"/><Relationship Id="rId177" Type="http://schemas.openxmlformats.org/officeDocument/2006/relationships/hyperlink" Target="https://nl.wikipedia.org/wiki/Prinsbisdom_M%C3%BCnster" TargetMode="External"/><Relationship Id="rId20" Type="http://schemas.openxmlformats.org/officeDocument/2006/relationships/hyperlink" Target="https://nl.wikipedia.org/wiki/Vrouwenrechten" TargetMode="External"/><Relationship Id="rId22" Type="http://schemas.openxmlformats.org/officeDocument/2006/relationships/hyperlink" Target="https://en.wikipedia.org/wiki/Beguines_and_Beghards" TargetMode="External"/><Relationship Id="rId21" Type="http://schemas.openxmlformats.org/officeDocument/2006/relationships/hyperlink" Target="https://en.wikipedia.org/wiki/Cistercian_architecture" TargetMode="External"/><Relationship Id="rId24" Type="http://schemas.openxmlformats.org/officeDocument/2006/relationships/hyperlink" Target="https://sites.google.com/site/omgrachtedomeinen/home/schansen/hoe-zag-een-schans-er-uit/ophaalbrug" TargetMode="External"/><Relationship Id="rId23" Type="http://schemas.openxmlformats.org/officeDocument/2006/relationships/hyperlink" Target="https://adoc.pub/middeleeuwse-kloosters-en-dijkbouw-in-friesland.html" TargetMode="External"/><Relationship Id="rId129" Type="http://schemas.openxmlformats.org/officeDocument/2006/relationships/hyperlink" Target="https://themediaevalmonk.wordpress.com/2020/09/27/medieval-oblates-who-were-they/" TargetMode="External"/><Relationship Id="rId128" Type="http://schemas.openxmlformats.org/officeDocument/2006/relationships/hyperlink" Target="https://en.wikipedia.org/wiki/Wet_nurse" TargetMode="External"/><Relationship Id="rId127" Type="http://schemas.openxmlformats.org/officeDocument/2006/relationships/hyperlink" Target="https://essfeed.com/the-history-and-evolution-of-marzipan-from-royal-treat-to-mass-market-the-history-and-evolution-of-marzipan-from-royal-treat-to-mass-market/" TargetMode="External"/><Relationship Id="rId126" Type="http://schemas.openxmlformats.org/officeDocument/2006/relationships/hyperlink" Target="https://es.wikipedia.org/wiki/Turr%C3%B3n" TargetMode="External"/><Relationship Id="rId26" Type="http://schemas.openxmlformats.org/officeDocument/2006/relationships/hyperlink" Target="https://kennis.cultureelerfgoed.nl/index.php/Kloostertuinen_in_Nederland" TargetMode="External"/><Relationship Id="rId121" Type="http://schemas.openxmlformats.org/officeDocument/2006/relationships/hyperlink" Target="https://www.mdpi.com/2073-445X/12/3/716" TargetMode="External"/><Relationship Id="rId25" Type="http://schemas.openxmlformats.org/officeDocument/2006/relationships/hyperlink" Target="https://www.nationaalarchief.nl/onderzoeken/archief/3.18.20" TargetMode="External"/><Relationship Id="rId120" Type="http://schemas.openxmlformats.org/officeDocument/2006/relationships/hyperlink" Target="https://histories.be/ritueel/mariaverering" TargetMode="External"/><Relationship Id="rId28" Type="http://schemas.openxmlformats.org/officeDocument/2006/relationships/hyperlink" Target="https://www.marxists.org/nederlands/documenten/1954/leerboek/03.htm" TargetMode="External"/><Relationship Id="rId27" Type="http://schemas.openxmlformats.org/officeDocument/2006/relationships/hyperlink" Target="https://www.canonvannederland.nl/nl/page/352834/de-wereld-van-de-kloosterlingen" TargetMode="External"/><Relationship Id="rId125" Type="http://schemas.openxmlformats.org/officeDocument/2006/relationships/hyperlink" Target="https://nl.wikipedia.org/wiki/Reconquista_%28Iberi%C3%AB%29" TargetMode="External"/><Relationship Id="rId29" Type="http://schemas.openxmlformats.org/officeDocument/2006/relationships/hyperlink" Target="https://geheugenvannederland.nl/thema/gezondheidszorg/geboortecultuur-van-bakerpraatjes-tot-thuisbevalling/" TargetMode="External"/><Relationship Id="rId124" Type="http://schemas.openxmlformats.org/officeDocument/2006/relationships/hyperlink" Target="https://historiek.net/zelfmoord-in-de-middeleeuwen-een-grote-schande/18034/" TargetMode="External"/><Relationship Id="rId123" Type="http://schemas.openxmlformats.org/officeDocument/2006/relationships/hyperlink" Target="https://www.dbnl.org/tekst/dela012alge01_01/dela012alge01_01_01369.php" TargetMode="External"/><Relationship Id="rId122" Type="http://schemas.openxmlformats.org/officeDocument/2006/relationships/hyperlink" Target="https://nl.wikipedia.org/wiki/Liturgisch_drama" TargetMode="External"/><Relationship Id="rId95" Type="http://schemas.openxmlformats.org/officeDocument/2006/relationships/hyperlink" Target="https://en.wikipedia.org/wiki/Savate" TargetMode="External"/><Relationship Id="rId94" Type="http://schemas.openxmlformats.org/officeDocument/2006/relationships/hyperlink" Target="https://www.lwl.org/westfaelische-geschichte/portal/Internet/input_felder/langDatensatz_ebene4.php?urlID=33&amp;url_tabelle=tab_websegmente" TargetMode="External"/><Relationship Id="rId97" Type="http://schemas.openxmlformats.org/officeDocument/2006/relationships/hyperlink" Target="https://de.wikipedia.org/wiki/Papenburg" TargetMode="External"/><Relationship Id="rId96" Type="http://schemas.openxmlformats.org/officeDocument/2006/relationships/hyperlink" Target="https://en.wikipedia.org/wiki/Hofmeister_(office)" TargetMode="External"/><Relationship Id="rId11" Type="http://schemas.openxmlformats.org/officeDocument/2006/relationships/hyperlink" Target="https://www.tandfonline.com/doi/abs/10.1080/03468759008579188" TargetMode="External"/><Relationship Id="rId99" Type="http://schemas.openxmlformats.org/officeDocument/2006/relationships/hyperlink" Target="https://www.dbnl.org/tekst/nede008wito01_01/nede008wito01_01_0003.php" TargetMode="External"/><Relationship Id="rId10" Type="http://schemas.openxmlformats.org/officeDocument/2006/relationships/hyperlink" Target="https://www.nationaalarchief.nl/onderzoeken/archief/3.01.31" TargetMode="External"/><Relationship Id="rId98" Type="http://schemas.openxmlformats.org/officeDocument/2006/relationships/hyperlink" Target="https://nl.wikipedia.org/wiki/Bedstede" TargetMode="External"/><Relationship Id="rId13" Type="http://schemas.openxmlformats.org/officeDocument/2006/relationships/hyperlink" Target="https://nl.wikipedia.org/wiki/Feodaliteit" TargetMode="External"/><Relationship Id="rId12" Type="http://schemas.openxmlformats.org/officeDocument/2006/relationships/hyperlink" Target="https://nl.wikipedia.org/wiki/Vogelvrij" TargetMode="External"/><Relationship Id="rId91" Type="http://schemas.openxmlformats.org/officeDocument/2006/relationships/hyperlink" Target="https://www.derlandgraph.de/architektur/burgen-schl%C3%B6sser/m%C3%BCnsterland/" TargetMode="External"/><Relationship Id="rId90" Type="http://schemas.openxmlformats.org/officeDocument/2006/relationships/hyperlink" Target="https://de.wikipedia.org/wiki/Hochstift_M%C3%BCnster" TargetMode="External"/><Relationship Id="rId93" Type="http://schemas.openxmlformats.org/officeDocument/2006/relationships/hyperlink" Target="https://nl.wikipedia.org/wiki/Havezate" TargetMode="External"/><Relationship Id="rId92" Type="http://schemas.openxmlformats.org/officeDocument/2006/relationships/hyperlink" Target="https://isgeschiedenis.nl/nieuws/woontorens-in-nederland" TargetMode="External"/><Relationship Id="rId118" Type="http://schemas.openxmlformats.org/officeDocument/2006/relationships/hyperlink" Target="https://www.absolutefacts.nl/opinie/jcm-wiesman/kloosters-in-de-middeleeuwen.htm" TargetMode="External"/><Relationship Id="rId117" Type="http://schemas.openxmlformats.org/officeDocument/2006/relationships/hyperlink" Target="https://spaanseverhalen.com/geschiedenis-van-spanje/reconquista/koningen-van-hispania/kroon-van-castilla/koninkrijk-galicia/" TargetMode="External"/><Relationship Id="rId116" Type="http://schemas.openxmlformats.org/officeDocument/2006/relationships/hyperlink" Target="https://es.wikipedia.org/wiki/Hervencias_de_%C3%81vila" TargetMode="External"/><Relationship Id="rId115" Type="http://schemas.openxmlformats.org/officeDocument/2006/relationships/hyperlink" Target="https://spaanseverhalen.com/geschiedenis-van-spanje/reconquista/koningen-van-hispania/kroon-van-castilla/koninkrijk-leon/urraca-i-de-leon/" TargetMode="External"/><Relationship Id="rId119" Type="http://schemas.openxmlformats.org/officeDocument/2006/relationships/hyperlink" Target="https://sargasso.nl/goed-volk-kruisen-in-het-rituele-landschap/" TargetMode="External"/><Relationship Id="rId15" Type="http://schemas.openxmlformats.org/officeDocument/2006/relationships/hyperlink" Target="https://www.dboverijssel.nl/archieven/18429" TargetMode="External"/><Relationship Id="rId110" Type="http://schemas.openxmlformats.org/officeDocument/2006/relationships/hyperlink" Target="https://historiek.net/met-de-helm-geboren-worden-zijn-betekenis/129782/" TargetMode="External"/><Relationship Id="rId14" Type="http://schemas.openxmlformats.org/officeDocument/2006/relationships/hyperlink" Target="https://www.canonvannederland.nl/nl/zuid-holland/voorne-putten-en-rozenburg/armoede-op-het-platteland" TargetMode="External"/><Relationship Id="rId17" Type="http://schemas.openxmlformats.org/officeDocument/2006/relationships/hyperlink" Target="https://nl.wikipedia.org/wiki/Schuldslavernij" TargetMode="External"/><Relationship Id="rId16" Type="http://schemas.openxmlformats.org/officeDocument/2006/relationships/hyperlink" Target="https://historianet.nl/maatschappij/gebruiken/landheer-sliep-als-eerste-met-de-bruid" TargetMode="External"/><Relationship Id="rId19" Type="http://schemas.openxmlformats.org/officeDocument/2006/relationships/hyperlink" Target="https://www.zeeuwseankers.nl/verhaal/straffen-op-school" TargetMode="External"/><Relationship Id="rId114" Type="http://schemas.openxmlformats.org/officeDocument/2006/relationships/hyperlink" Target="https://nl.wikipedia.org/wiki/Urraca_van_Castili%C3%AB_en_Le%C3%B3n" TargetMode="External"/><Relationship Id="rId18" Type="http://schemas.openxmlformats.org/officeDocument/2006/relationships/hyperlink" Target="https://www.deverhalenvangroningen.nl/alle-verhalen/ongelijkheid-in-het-oldambt" TargetMode="External"/><Relationship Id="rId113" Type="http://schemas.openxmlformats.org/officeDocument/2006/relationships/hyperlink" Target="https://nl.wikipedia.org/wiki/Alfons_I_van_Arag%C3%B3n" TargetMode="External"/><Relationship Id="rId112" Type="http://schemas.openxmlformats.org/officeDocument/2006/relationships/hyperlink" Target="https://nl.wikipedia.org/wiki/Martinus_van_Tours" TargetMode="External"/><Relationship Id="rId111" Type="http://schemas.openxmlformats.org/officeDocument/2006/relationships/hyperlink" Target="https://en.wikipedia.org/wiki/Battle_of_Viadangos" TargetMode="External"/><Relationship Id="rId84" Type="http://schemas.openxmlformats.org/officeDocument/2006/relationships/hyperlink" Target="https://www.literatuurgeschiedenis.org/17e-eeuw/literair-mecenaat" TargetMode="External"/><Relationship Id="rId83" Type="http://schemas.openxmlformats.org/officeDocument/2006/relationships/hyperlink" Target="https://www.nationalgallery.org.uk/paintings/samuel-van-hoogstraten-a-peepshow-with-views-of-the-interior-of-a-dutch-house" TargetMode="External"/><Relationship Id="rId86" Type="http://schemas.openxmlformats.org/officeDocument/2006/relationships/hyperlink" Target="https://nl.wikipedia.org/wiki/Vogelvrij" TargetMode="External"/><Relationship Id="rId85" Type="http://schemas.openxmlformats.org/officeDocument/2006/relationships/hyperlink" Target="https://www.nemokennislink.nl/publicaties/mythologie-in-de-schilderkunst/" TargetMode="External"/><Relationship Id="rId88" Type="http://schemas.openxmlformats.org/officeDocument/2006/relationships/hyperlink" Target="https://de.wikipedia.org/wiki/Papenburg" TargetMode="External"/><Relationship Id="rId150" Type="http://schemas.openxmlformats.org/officeDocument/2006/relationships/hyperlink" Target="https://www.allaboutscience.org/dutch/oorsprong-van-het-leven.htm" TargetMode="External"/><Relationship Id="rId87" Type="http://schemas.openxmlformats.org/officeDocument/2006/relationships/hyperlink" Target="https://nl.wikipedia.org/wiki/Sint_Jansfeest" TargetMode="External"/><Relationship Id="rId89" Type="http://schemas.openxmlformats.org/officeDocument/2006/relationships/hyperlink" Target="https://www.cultureelerfgoed.nl/onderwerpen/mobiel-erfgoed/ontwikkeling-infrastructuur-in-nederland" TargetMode="External"/><Relationship Id="rId80" Type="http://schemas.openxmlformats.org/officeDocument/2006/relationships/hyperlink" Target="https://isgeschiedenis.nl/longreads/bloedwraak" TargetMode="External"/><Relationship Id="rId82" Type="http://schemas.openxmlformats.org/officeDocument/2006/relationships/hyperlink" Target="https://www.theologie.nl/abraham-en-zijn-vrouwen/" TargetMode="External"/><Relationship Id="rId81" Type="http://schemas.openxmlformats.org/officeDocument/2006/relationships/hyperlink" Target="https://www.adelinnederland.nl/page/41/" TargetMode="External"/><Relationship Id="rId1" Type="http://schemas.openxmlformats.org/officeDocument/2006/relationships/hyperlink" Target="https://eten-en-drinken.infonu.nl/bier-en-wijn/94608-bier-in-plaats-van-water-in-de-middeleeuwen.html" TargetMode="External"/><Relationship Id="rId2" Type="http://schemas.openxmlformats.org/officeDocument/2006/relationships/hyperlink" Target="https://nl.wikipedia.org/wiki/Vogelvrij" TargetMode="External"/><Relationship Id="rId3" Type="http://schemas.openxmlformats.org/officeDocument/2006/relationships/hyperlink" Target="https://nl.wikipedia.org/wiki/Lijfeigenschap" TargetMode="External"/><Relationship Id="rId149" Type="http://schemas.openxmlformats.org/officeDocument/2006/relationships/hyperlink" Target="https://nl.wikipedia.org/wiki/Rooms-Katholieke_Kerk" TargetMode="External"/><Relationship Id="rId4" Type="http://schemas.openxmlformats.org/officeDocument/2006/relationships/hyperlink" Target="https://nl.wikipedia.org/wiki/Vogelvrij" TargetMode="External"/><Relationship Id="rId148" Type="http://schemas.openxmlformats.org/officeDocument/2006/relationships/hyperlink" Target="https://nl.wikipedia.org/wiki/Rooms-Katholieke_Kerk" TargetMode="External"/><Relationship Id="rId9" Type="http://schemas.openxmlformats.org/officeDocument/2006/relationships/hyperlink" Target="https://www.nrc.nl/nieuws/2014/12/09/wie-het-verst-kan-plassen-daar-deden-ze-in-de-17de-eeuw-al-aan-a1467090" TargetMode="External"/><Relationship Id="rId143" Type="http://schemas.openxmlformats.org/officeDocument/2006/relationships/hyperlink" Target="https://itinerant-scribe.com/tag/medieval-correspondence/" TargetMode="External"/><Relationship Id="rId142" Type="http://schemas.openxmlformats.org/officeDocument/2006/relationships/hyperlink" Target="https://www.cambridge.org/core/journals/diogenes/article/nude-in-the-renaissance-unveiling-the-world-and-revealing-human-dignity/AAA4372463C871735F94FF0652EB34BF" TargetMode="External"/><Relationship Id="rId141" Type="http://schemas.openxmlformats.org/officeDocument/2006/relationships/hyperlink" Target="https://en.wikipedia.org/wiki/Prehistory_of_nakedness_and_clothing" TargetMode="External"/><Relationship Id="rId140" Type="http://schemas.openxmlformats.org/officeDocument/2006/relationships/hyperlink" Target="https://isgeschiedenis.nl/nieuws/gekaapte-brieven-uit-de-17e-en-18e-eeuw-online" TargetMode="External"/><Relationship Id="rId5" Type="http://schemas.openxmlformats.org/officeDocument/2006/relationships/hyperlink" Target="https://nl.wikipedia.org/wiki/Sint-Maarten_%28feest%29" TargetMode="External"/><Relationship Id="rId147" Type="http://schemas.openxmlformats.org/officeDocument/2006/relationships/hyperlink" Target="https://www.vitus.nl/catechismus-van-de-katholieke-kerk/" TargetMode="External"/><Relationship Id="rId6" Type="http://schemas.openxmlformats.org/officeDocument/2006/relationships/hyperlink" Target="https://www.dbnl.org/tekst/usse002gesc01_01/usse002gesc01_01_0006.php" TargetMode="External"/><Relationship Id="rId146" Type="http://schemas.openxmlformats.org/officeDocument/2006/relationships/hyperlink" Target="https://ia801808.us.archive.org/34/items/download-converted_202104/download-converted_text.pdf" TargetMode="External"/><Relationship Id="rId7" Type="http://schemas.openxmlformats.org/officeDocument/2006/relationships/hyperlink" Target="https://de.wikipedia.org/wiki/Niederdeutsche_Sprache" TargetMode="External"/><Relationship Id="rId145" Type="http://schemas.openxmlformats.org/officeDocument/2006/relationships/hyperlink" Target="https://en.wikipedia.org/wiki/Servant_abuse" TargetMode="External"/><Relationship Id="rId8" Type="http://schemas.openxmlformats.org/officeDocument/2006/relationships/hyperlink" Target="https://journal-archive.aup.nl/tijdschrift-voor-historische-geografie/2011/HGT_2011-1_Raven_Aan_weerzijnde_van_de_grens_De_ontwikkeling_van_het_landschap_in_Bargerveen_en_het_aangrenzende_Emsland.pdf?utm_source=chatgpt.com" TargetMode="External"/><Relationship Id="rId144" Type="http://schemas.openxmlformats.org/officeDocument/2006/relationships/hyperlink" Target="https://www.gale.com/binaries/content/assets/gale-us-en/primary-sources/intl-gps/intl-gps-essays/full-ghn-contextual-essays/ghn_essay_bln_lloyd3_website.pdf" TargetMode="External"/><Relationship Id="rId73" Type="http://schemas.openxmlformats.org/officeDocument/2006/relationships/hyperlink" Target="https://www.newadvent.org/cathen/08717a.htm" TargetMode="External"/><Relationship Id="rId72" Type="http://schemas.openxmlformats.org/officeDocument/2006/relationships/hyperlink" Target="https://de.wikipedia.org/wiki/Liste_von_Bauernaufst%C3%A4nden" TargetMode="External"/><Relationship Id="rId75" Type="http://schemas.openxmlformats.org/officeDocument/2006/relationships/hyperlink" Target="https://www.nationalgeographic.nl/geschiedenis-archeologie/a43516662/de-drooglegging-van-de-beemsterpolder" TargetMode="External"/><Relationship Id="rId74" Type="http://schemas.openxmlformats.org/officeDocument/2006/relationships/hyperlink" Target="https://en.wikipedia.org/wiki/Momus" TargetMode="External"/><Relationship Id="rId77" Type="http://schemas.openxmlformats.org/officeDocument/2006/relationships/hyperlink" Target="https://www.nazatendevries.nl/Artikelen%20en%20Colums/Onderwerpen/Beklemrecht/Beklemrecht.html" TargetMode="External"/><Relationship Id="rId76" Type="http://schemas.openxmlformats.org/officeDocument/2006/relationships/hyperlink" Target="https://kennis.cultureelerfgoed.nl/index.php/Panorama_Landschap_-_De_Marne_en_het_Hogeland" TargetMode="External"/><Relationship Id="rId79" Type="http://schemas.openxmlformats.org/officeDocument/2006/relationships/hyperlink" Target="https://www.terugindrenthe.nl/tijdlijnen/rand-van-drenthe/" TargetMode="External"/><Relationship Id="rId78" Type="http://schemas.openxmlformats.org/officeDocument/2006/relationships/hyperlink" Target="https://vijfeeuwenmigratie.nl/migratiebeweging/duitse-trekarbeiders" TargetMode="External"/><Relationship Id="rId71" Type="http://schemas.openxmlformats.org/officeDocument/2006/relationships/hyperlink" Target="https://nl.wikipedia.org/wiki/Vogelvrij" TargetMode="External"/><Relationship Id="rId70" Type="http://schemas.openxmlformats.org/officeDocument/2006/relationships/hyperlink" Target="https://de.wikipedia.org/wiki/Leibeigenschaft" TargetMode="External"/><Relationship Id="rId139" Type="http://schemas.openxmlformats.org/officeDocument/2006/relationships/hyperlink" Target="https://isgeschiedenis.nl/nieuws/geschiedenis-van-de-wc-tot-aan-de-plaszak" TargetMode="External"/><Relationship Id="rId138" Type="http://schemas.openxmlformats.org/officeDocument/2006/relationships/hyperlink" Target="https://nl.wikipedia.org/wiki/Schoolcijfer" TargetMode="External"/><Relationship Id="rId137" Type="http://schemas.openxmlformats.org/officeDocument/2006/relationships/hyperlink" Target="https://nl.wikipedia.org/wiki/Lijfstraf" TargetMode="External"/><Relationship Id="rId132" Type="http://schemas.openxmlformats.org/officeDocument/2006/relationships/hyperlink" Target="https://nl.wikipedia.org/wiki/Voorburcht" TargetMode="External"/><Relationship Id="rId131" Type="http://schemas.openxmlformats.org/officeDocument/2006/relationships/hyperlink" Target="https://nl.wikipedia.org/wiki/Geschiedenis_van_de_prostitutie_in_Amsterdam" TargetMode="External"/><Relationship Id="rId130" Type="http://schemas.openxmlformats.org/officeDocument/2006/relationships/hyperlink" Target="https://www.studeersnel.nl/nl/document/universiteit-leiden/hoorcollege-middeleeuwse-geschiedenis-mg/mg-dt-2-deeltentamen-1/26982893" TargetMode="External"/><Relationship Id="rId136" Type="http://schemas.openxmlformats.org/officeDocument/2006/relationships/hyperlink" Target="https://www.canonvannederland.nl/" TargetMode="External"/><Relationship Id="rId135" Type="http://schemas.openxmlformats.org/officeDocument/2006/relationships/hyperlink" Target="https://nl.wikipedia.org/wiki/Latijnse_school" TargetMode="External"/><Relationship Id="rId134" Type="http://schemas.openxmlformats.org/officeDocument/2006/relationships/hyperlink" Target="https://www.taylorfrancis.com/books/mono/10.4324/9781315839233/literacy-early-modern-europe-houston" TargetMode="External"/><Relationship Id="rId133" Type="http://schemas.openxmlformats.org/officeDocument/2006/relationships/hyperlink" Target="https://www.quest.nl/maatschappij/geschiedenis/a40251917/bedstee-slapen-vroeger-klein-vuil/" TargetMode="External"/><Relationship Id="rId62" Type="http://schemas.openxmlformats.org/officeDocument/2006/relationships/hyperlink" Target="https://www.militair.net/oorlogen/de-tachtigjarige-oorlog/willem-van-oranje-vogelvrij-verklaart/" TargetMode="External"/><Relationship Id="rId61" Type="http://schemas.openxmlformats.org/officeDocument/2006/relationships/hyperlink" Target="https://www.hellobier.nl/blogs/nieuws/waar-komt-bier-vandaan/" TargetMode="External"/><Relationship Id="rId64" Type="http://schemas.openxmlformats.org/officeDocument/2006/relationships/hyperlink" Target="https://historiek.net/taal-van-het-dorp-wim-daniels/126480/" TargetMode="External"/><Relationship Id="rId63" Type="http://schemas.openxmlformats.org/officeDocument/2006/relationships/hyperlink" Target="https://kro-ncrv.nl/katholiek/encyclopedie/h/hoogfeest-van-petrus-en-paulus" TargetMode="External"/><Relationship Id="rId66" Type="http://schemas.openxmlformats.org/officeDocument/2006/relationships/hyperlink" Target="https://www.allaboutvision.com/conditions/cataracts/christmas-tree/" TargetMode="External"/><Relationship Id="rId172" Type="http://schemas.openxmlformats.org/officeDocument/2006/relationships/hyperlink" Target="https://en.wikipedia.org/wiki/Friedrich_Christian_von_Plettenberg" TargetMode="External"/><Relationship Id="rId65" Type="http://schemas.openxmlformats.org/officeDocument/2006/relationships/hyperlink" Target="http://www.grenadiercompagnie.nl/Bestanden/Tamboers%20en%20Pijpersschool.pdf" TargetMode="External"/><Relationship Id="rId171" Type="http://schemas.openxmlformats.org/officeDocument/2006/relationships/hyperlink" Target="https://en.wikipedia.org/wiki/Friedrich_Christian_von_Plettenberg" TargetMode="External"/><Relationship Id="rId68" Type="http://schemas.openxmlformats.org/officeDocument/2006/relationships/hyperlink" Target="https://en.wikipedia.org/wiki/Medieval_hunting" TargetMode="External"/><Relationship Id="rId170" Type="http://schemas.openxmlformats.org/officeDocument/2006/relationships/hyperlink" Target="https://en.wikipedia.org/wiki/Friedrich_Christian_von_Plettenberg" TargetMode="External"/><Relationship Id="rId67" Type="http://schemas.openxmlformats.org/officeDocument/2006/relationships/hyperlink" Target="https://repub.eur.nl/pub/13303/06008_hoop_H07.pdf" TargetMode="External"/><Relationship Id="rId60" Type="http://schemas.openxmlformats.org/officeDocument/2006/relationships/hyperlink" Target="https://isgeschiedenis.nl/nieuws/bier-in-de-middeleeuwen" TargetMode="External"/><Relationship Id="rId165" Type="http://schemas.openxmlformats.org/officeDocument/2006/relationships/hyperlink" Target="https://nl.wikipedia.org/wiki/Seksualiteit_in_West-Europa_in_de_19e_eeuw" TargetMode="External"/><Relationship Id="rId69" Type="http://schemas.openxmlformats.org/officeDocument/2006/relationships/hyperlink" Target="https://en.wikipedia.org/wiki/Medieval_hunting" TargetMode="External"/><Relationship Id="rId164" Type="http://schemas.openxmlformats.org/officeDocument/2006/relationships/hyperlink" Target="https://erfgoedkloosterleven.nl/kloosters-en-kloosterleven/leven-in-een-klooster/" TargetMode="External"/><Relationship Id="rId163" Type="http://schemas.openxmlformats.org/officeDocument/2006/relationships/hyperlink" Target="http://www.novydvur.cz/nl/p-165/p-832/p-839/" TargetMode="External"/><Relationship Id="rId162" Type="http://schemas.openxmlformats.org/officeDocument/2006/relationships/hyperlink" Target="https://nl.wikipedia.org/wiki/Novice" TargetMode="External"/><Relationship Id="rId169" Type="http://schemas.openxmlformats.org/officeDocument/2006/relationships/hyperlink" Target="https://en.wikipedia.org/wiki/Friedrich_Christian_von_Plettenberg" TargetMode="External"/><Relationship Id="rId168" Type="http://schemas.openxmlformats.org/officeDocument/2006/relationships/hyperlink" Target="https://ettyhillesumcentrum.nl/de-joodse-geschiedenis-van-deventer/geschiedenis-van-joods-deventer/" TargetMode="External"/><Relationship Id="rId167" Type="http://schemas.openxmlformats.org/officeDocument/2006/relationships/hyperlink" Target="https://nl.wikipedia.org/wiki/Gemaal_(waterbouwkunde)" TargetMode="External"/><Relationship Id="rId166" Type="http://schemas.openxmlformats.org/officeDocument/2006/relationships/hyperlink" Target="https://nl.wikipedia.org/wiki/Jonkheer" TargetMode="External"/><Relationship Id="rId51" Type="http://schemas.openxmlformats.org/officeDocument/2006/relationships/hyperlink" Target="https://transarchief.nl/Prostitutie/17e_18e_eeuw/prostitutie_17e_18e_eeuw.html" TargetMode="External"/><Relationship Id="rId50" Type="http://schemas.openxmlformats.org/officeDocument/2006/relationships/hyperlink" Target="https://nl.wikipedia.org/wiki/Westerse_kostuumgeschiedenis" TargetMode="External"/><Relationship Id="rId53" Type="http://schemas.openxmlformats.org/officeDocument/2006/relationships/hyperlink" Target="https://www.shsel.nl/canon/13-onderwijs-in-de-17e-en-18e-eeuw/" TargetMode="External"/><Relationship Id="rId52" Type="http://schemas.openxmlformats.org/officeDocument/2006/relationships/hyperlink" Target="https://www.onderwijsmuseum.nl/files/2016-12/een_korte_geschiedenis_van_het_onderwijs_dec._16_.pdf" TargetMode="External"/><Relationship Id="rId55" Type="http://schemas.openxmlformats.org/officeDocument/2006/relationships/hyperlink" Target="https://nl.wikipedia.org/wiki/Franciscus_van_Assisi" TargetMode="External"/><Relationship Id="rId161" Type="http://schemas.openxmlformats.org/officeDocument/2006/relationships/hyperlink" Target="https://nl.wikipedia.org/wiki/Postulant" TargetMode="External"/><Relationship Id="rId54" Type="http://schemas.openxmlformats.org/officeDocument/2006/relationships/hyperlink" Target="https://explore.britannica.com/explore/savingearth/the-hidden-history-of-greco-roman-vegetarianism" TargetMode="External"/><Relationship Id="rId160" Type="http://schemas.openxmlformats.org/officeDocument/2006/relationships/hyperlink" Target="https://nl.wikipedia.org/wiki/Abt_(abdij)" TargetMode="External"/><Relationship Id="rId57" Type="http://schemas.openxmlformats.org/officeDocument/2006/relationships/hyperlink" Target="https://pure.uva.nl/ws/files/3380186/34757_UBA003000094_007.pdf" TargetMode="External"/><Relationship Id="rId56" Type="http://schemas.openxmlformats.org/officeDocument/2006/relationships/hyperlink" Target="https://onh.nl/verhaal/eten-en-drinken-in-de-gouden-eeuw" TargetMode="External"/><Relationship Id="rId159" Type="http://schemas.openxmlformats.org/officeDocument/2006/relationships/hyperlink" Target="https://www.nationalgeographic.nl/geschiedenis-archeologie/a44514509/maria-magdalena" TargetMode="External"/><Relationship Id="rId59" Type="http://schemas.openxmlformats.org/officeDocument/2006/relationships/hyperlink" Target="https://nl.wikipedia.org/wiki/Paaslam" TargetMode="External"/><Relationship Id="rId154" Type="http://schemas.openxmlformats.org/officeDocument/2006/relationships/hyperlink" Target="https://nl.wikipedia.org/wiki/Spiegelretourschip" TargetMode="External"/><Relationship Id="rId58" Type="http://schemas.openxmlformats.org/officeDocument/2006/relationships/hyperlink" Target="https://culturescope.nl/culinaire-geschiedenis-en-eetgewoonten-12/" TargetMode="External"/><Relationship Id="rId153" Type="http://schemas.openxmlformats.org/officeDocument/2006/relationships/hyperlink" Target="https://nl.wikipedia.org/wiki/Jordaan_(Amsterdam)" TargetMode="External"/><Relationship Id="rId152" Type="http://schemas.openxmlformats.org/officeDocument/2006/relationships/hyperlink" Target="https://www.hetscheepvaartmuseum.nl/doen/de-schepen/voc-schip-amsterdam" TargetMode="External"/><Relationship Id="rId151" Type="http://schemas.openxmlformats.org/officeDocument/2006/relationships/hyperlink" Target="https://nl.wikipedia.org/wiki/Spontane_generatie" TargetMode="External"/><Relationship Id="rId158" Type="http://schemas.openxmlformats.org/officeDocument/2006/relationships/hyperlink" Target="https://nl.wikipedia.org/wiki/Officiaal" TargetMode="External"/><Relationship Id="rId157" Type="http://schemas.openxmlformats.org/officeDocument/2006/relationships/hyperlink" Target="https://nl.wikipedia.org/wiki/Schaken" TargetMode="External"/><Relationship Id="rId156" Type="http://schemas.openxmlformats.org/officeDocument/2006/relationships/hyperlink" Target="https://nl.wikipedia.org/wiki/Vierschaar" TargetMode="External"/><Relationship Id="rId155" Type="http://schemas.openxmlformats.org/officeDocument/2006/relationships/hyperlink" Target="https://nl.wikipedia.org/wiki/Lodewijk_XIV_van_Frankrij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5"/>
    <col customWidth="1" min="2" max="2" width="8.5"/>
    <col customWidth="1" min="3" max="3" width="7.13"/>
    <col customWidth="1" min="4" max="4" width="4.13"/>
    <col customWidth="1" min="5" max="5" width="8.88"/>
    <col customWidth="1" min="6" max="6" width="4.63"/>
    <col customWidth="1" min="7" max="7" width="8.38"/>
    <col customWidth="1" min="8" max="8" width="10.13"/>
    <col customWidth="1" min="9" max="9" width="13.25"/>
    <col customWidth="1" min="10" max="11" width="5.5"/>
    <col customWidth="1" min="12" max="12" width="5.63"/>
    <col customWidth="1" min="13" max="13" width="164.38"/>
  </cols>
  <sheetData>
    <row r="1">
      <c r="A1" s="1" t="s">
        <v>0</v>
      </c>
      <c r="B1" s="1" t="s">
        <v>1</v>
      </c>
      <c r="C1" s="2" t="s">
        <v>2</v>
      </c>
      <c r="D1" s="1" t="s">
        <v>3</v>
      </c>
      <c r="E1" s="1" t="s">
        <v>4</v>
      </c>
      <c r="F1" s="1" t="s">
        <v>5</v>
      </c>
      <c r="G1" s="1" t="s">
        <v>6</v>
      </c>
      <c r="H1" s="1" t="s">
        <v>7</v>
      </c>
      <c r="I1" s="1" t="s">
        <v>8</v>
      </c>
      <c r="J1" s="3" t="s">
        <v>9</v>
      </c>
      <c r="K1" s="4" t="s">
        <v>10</v>
      </c>
      <c r="L1" s="1" t="s">
        <v>11</v>
      </c>
      <c r="M1" s="1" t="s">
        <v>12</v>
      </c>
      <c r="N1" s="5"/>
      <c r="O1" s="5"/>
      <c r="P1" s="5"/>
      <c r="Q1" s="5"/>
      <c r="R1" s="5"/>
      <c r="S1" s="5"/>
      <c r="T1" s="5"/>
      <c r="U1" s="5"/>
      <c r="V1" s="5"/>
      <c r="W1" s="5"/>
      <c r="X1" s="5"/>
      <c r="Y1" s="5"/>
      <c r="Z1" s="5"/>
      <c r="AA1" s="5"/>
      <c r="AB1" s="5"/>
      <c r="AC1" s="5"/>
      <c r="AD1" s="5"/>
      <c r="AE1" s="5"/>
      <c r="AF1" s="5"/>
      <c r="AG1" s="5"/>
      <c r="AH1" s="5"/>
      <c r="AI1" s="5"/>
    </row>
    <row r="2">
      <c r="A2" s="6" t="s">
        <v>13</v>
      </c>
      <c r="B2" s="7">
        <v>1.0</v>
      </c>
      <c r="C2" s="7">
        <v>1.0</v>
      </c>
      <c r="D2" s="7">
        <v>3.0</v>
      </c>
      <c r="E2" s="7" t="s">
        <v>14</v>
      </c>
      <c r="F2" s="7" t="b">
        <v>1</v>
      </c>
      <c r="G2" s="7">
        <v>0.0</v>
      </c>
      <c r="H2" s="7" t="s">
        <v>15</v>
      </c>
      <c r="I2" s="7" t="s">
        <v>16</v>
      </c>
      <c r="J2" s="8" t="s">
        <v>17</v>
      </c>
      <c r="K2" s="9" t="s">
        <v>18</v>
      </c>
      <c r="L2" s="10">
        <v>0.3333333333333333</v>
      </c>
      <c r="M2" s="7" t="s">
        <v>19</v>
      </c>
    </row>
    <row r="3">
      <c r="A3" s="6" t="s">
        <v>20</v>
      </c>
      <c r="B3" s="7">
        <v>1.0</v>
      </c>
      <c r="C3" s="7">
        <f t="shared" ref="C3:C41" si="1"> C2+1</f>
        <v>2</v>
      </c>
      <c r="D3" s="7">
        <v>3.0</v>
      </c>
      <c r="E3" s="7" t="s">
        <v>14</v>
      </c>
      <c r="F3" s="7" t="b">
        <v>1</v>
      </c>
      <c r="G3" s="7">
        <v>0.0</v>
      </c>
      <c r="H3" s="7" t="s">
        <v>15</v>
      </c>
      <c r="I3" s="7" t="s">
        <v>16</v>
      </c>
      <c r="J3" s="11" t="s">
        <v>17</v>
      </c>
      <c r="K3" s="12" t="s">
        <v>18</v>
      </c>
      <c r="L3" s="13">
        <v>0.46597222222222223</v>
      </c>
      <c r="M3" s="7" t="s">
        <v>21</v>
      </c>
    </row>
    <row r="4">
      <c r="A4" s="6" t="s">
        <v>22</v>
      </c>
      <c r="B4" s="7">
        <v>1.0</v>
      </c>
      <c r="C4" s="7">
        <f t="shared" si="1"/>
        <v>3</v>
      </c>
      <c r="D4" s="7">
        <v>3.0</v>
      </c>
      <c r="E4" s="7" t="s">
        <v>14</v>
      </c>
      <c r="F4" s="7" t="b">
        <v>1</v>
      </c>
      <c r="G4" s="7">
        <v>1.0</v>
      </c>
      <c r="H4" s="7" t="s">
        <v>15</v>
      </c>
      <c r="I4" s="7" t="s">
        <v>16</v>
      </c>
      <c r="J4" s="8" t="s">
        <v>23</v>
      </c>
      <c r="K4" s="9"/>
      <c r="L4" s="14"/>
      <c r="M4" s="7" t="s">
        <v>24</v>
      </c>
    </row>
    <row r="5">
      <c r="A5" s="6" t="s">
        <v>25</v>
      </c>
      <c r="B5" s="7">
        <v>1.0</v>
      </c>
      <c r="C5" s="7">
        <f t="shared" si="1"/>
        <v>4</v>
      </c>
      <c r="D5" s="7">
        <v>3.0</v>
      </c>
      <c r="E5" s="7" t="s">
        <v>14</v>
      </c>
      <c r="F5" s="7" t="b">
        <v>1</v>
      </c>
      <c r="G5" s="7">
        <v>1.0</v>
      </c>
      <c r="H5" s="7" t="s">
        <v>15</v>
      </c>
      <c r="I5" s="7" t="s">
        <v>16</v>
      </c>
      <c r="J5" s="8" t="s">
        <v>26</v>
      </c>
      <c r="K5" s="15"/>
      <c r="L5" s="16"/>
      <c r="M5" s="7" t="s">
        <v>27</v>
      </c>
    </row>
    <row r="6">
      <c r="A6" s="6" t="s">
        <v>28</v>
      </c>
      <c r="B6" s="7">
        <v>1.0</v>
      </c>
      <c r="C6" s="7">
        <f t="shared" si="1"/>
        <v>5</v>
      </c>
      <c r="D6" s="7">
        <v>3.0</v>
      </c>
      <c r="E6" s="7" t="s">
        <v>14</v>
      </c>
      <c r="F6" s="7" t="b">
        <v>1</v>
      </c>
      <c r="G6" s="7">
        <v>0.0</v>
      </c>
      <c r="H6" s="7" t="s">
        <v>15</v>
      </c>
      <c r="I6" s="7" t="s">
        <v>16</v>
      </c>
      <c r="J6" s="8" t="s">
        <v>29</v>
      </c>
      <c r="K6" s="9">
        <v>45607.0</v>
      </c>
      <c r="L6" s="10">
        <v>0.46597222222222223</v>
      </c>
      <c r="M6" s="7" t="s">
        <v>30</v>
      </c>
    </row>
    <row r="7">
      <c r="A7" s="6" t="s">
        <v>31</v>
      </c>
      <c r="B7" s="7">
        <v>1.0</v>
      </c>
      <c r="C7" s="7">
        <f t="shared" si="1"/>
        <v>6</v>
      </c>
      <c r="D7" s="7">
        <v>3.0</v>
      </c>
      <c r="E7" s="7" t="s">
        <v>14</v>
      </c>
      <c r="F7" s="7" t="b">
        <v>1</v>
      </c>
      <c r="G7" s="7">
        <v>1.0</v>
      </c>
      <c r="H7" s="7" t="s">
        <v>15</v>
      </c>
      <c r="I7" s="7" t="s">
        <v>16</v>
      </c>
      <c r="J7" s="8" t="s">
        <v>32</v>
      </c>
      <c r="K7" s="9" t="s">
        <v>33</v>
      </c>
      <c r="L7" s="16"/>
      <c r="M7" s="7" t="s">
        <v>34</v>
      </c>
    </row>
    <row r="8">
      <c r="A8" s="6" t="s">
        <v>35</v>
      </c>
      <c r="B8" s="7">
        <v>1.0</v>
      </c>
      <c r="C8" s="7">
        <f t="shared" si="1"/>
        <v>7</v>
      </c>
      <c r="D8" s="7">
        <v>3.0</v>
      </c>
      <c r="E8" s="7" t="s">
        <v>14</v>
      </c>
      <c r="F8" s="7" t="b">
        <v>1</v>
      </c>
      <c r="G8" s="7">
        <v>1.0</v>
      </c>
      <c r="H8" s="7" t="s">
        <v>15</v>
      </c>
      <c r="I8" s="7" t="s">
        <v>16</v>
      </c>
      <c r="J8" s="7">
        <v>1704.0</v>
      </c>
      <c r="K8" s="17">
        <v>45661.0</v>
      </c>
      <c r="M8" s="7" t="s">
        <v>36</v>
      </c>
    </row>
    <row r="9">
      <c r="A9" s="6" t="s">
        <v>37</v>
      </c>
      <c r="B9" s="7">
        <v>1.0</v>
      </c>
      <c r="C9" s="7">
        <f t="shared" si="1"/>
        <v>8</v>
      </c>
      <c r="D9" s="7">
        <v>3.0</v>
      </c>
      <c r="E9" s="7" t="s">
        <v>14</v>
      </c>
      <c r="F9" s="7" t="b">
        <v>1</v>
      </c>
      <c r="G9" s="7">
        <v>0.0</v>
      </c>
      <c r="H9" s="7" t="s">
        <v>15</v>
      </c>
      <c r="I9" s="7" t="s">
        <v>16</v>
      </c>
      <c r="J9" s="7">
        <v>1700.0</v>
      </c>
      <c r="K9" s="9"/>
      <c r="L9" s="10"/>
      <c r="M9" s="7" t="s">
        <v>38</v>
      </c>
    </row>
    <row r="10">
      <c r="A10" s="6" t="s">
        <v>39</v>
      </c>
      <c r="B10" s="7">
        <v>1.0</v>
      </c>
      <c r="C10" s="7">
        <f t="shared" si="1"/>
        <v>9</v>
      </c>
      <c r="D10" s="7">
        <v>3.0</v>
      </c>
      <c r="E10" s="7" t="s">
        <v>14</v>
      </c>
      <c r="F10" s="7" t="b">
        <v>1</v>
      </c>
      <c r="G10" s="7">
        <v>0.0</v>
      </c>
      <c r="H10" s="7" t="s">
        <v>15</v>
      </c>
      <c r="I10" s="7" t="s">
        <v>16</v>
      </c>
      <c r="J10" s="8" t="s">
        <v>17</v>
      </c>
      <c r="K10" s="9" t="s">
        <v>18</v>
      </c>
      <c r="L10" s="10">
        <v>0.5</v>
      </c>
      <c r="M10" s="7" t="s">
        <v>40</v>
      </c>
    </row>
    <row r="11">
      <c r="A11" s="6" t="s">
        <v>41</v>
      </c>
      <c r="B11" s="7">
        <v>1.0</v>
      </c>
      <c r="C11" s="7">
        <f t="shared" si="1"/>
        <v>10</v>
      </c>
      <c r="D11" s="7">
        <v>3.0</v>
      </c>
      <c r="E11" s="7" t="s">
        <v>14</v>
      </c>
      <c r="F11" s="7" t="b">
        <v>1</v>
      </c>
      <c r="G11" s="7">
        <v>0.0</v>
      </c>
      <c r="H11" s="7" t="s">
        <v>15</v>
      </c>
      <c r="I11" s="7" t="s">
        <v>16</v>
      </c>
      <c r="J11" s="7">
        <v>1711.0</v>
      </c>
      <c r="K11" s="9">
        <v>45472.0</v>
      </c>
      <c r="L11" s="16"/>
      <c r="M11" s="7" t="s">
        <v>42</v>
      </c>
    </row>
    <row r="12">
      <c r="A12" s="6" t="s">
        <v>43</v>
      </c>
      <c r="B12" s="7">
        <v>1.0</v>
      </c>
      <c r="C12" s="7">
        <f t="shared" si="1"/>
        <v>11</v>
      </c>
      <c r="D12" s="7">
        <v>3.0</v>
      </c>
      <c r="E12" s="7" t="s">
        <v>44</v>
      </c>
      <c r="F12" s="7" t="b">
        <v>1</v>
      </c>
      <c r="G12" s="7">
        <v>0.0</v>
      </c>
      <c r="H12" s="7" t="s">
        <v>15</v>
      </c>
      <c r="I12" s="7" t="s">
        <v>16</v>
      </c>
      <c r="J12" s="8"/>
      <c r="K12" s="15"/>
      <c r="L12" s="16"/>
      <c r="M12" s="7" t="s">
        <v>45</v>
      </c>
    </row>
    <row r="13">
      <c r="A13" s="6" t="s">
        <v>46</v>
      </c>
      <c r="B13" s="7">
        <v>1.0</v>
      </c>
      <c r="C13" s="7">
        <f t="shared" si="1"/>
        <v>12</v>
      </c>
      <c r="D13" s="7">
        <v>3.0</v>
      </c>
      <c r="E13" s="7" t="s">
        <v>44</v>
      </c>
      <c r="F13" s="7" t="b">
        <v>1</v>
      </c>
      <c r="G13" s="7">
        <v>0.0</v>
      </c>
      <c r="H13" s="7" t="s">
        <v>15</v>
      </c>
      <c r="I13" s="7" t="s">
        <v>16</v>
      </c>
      <c r="J13" s="7">
        <v>1711.0</v>
      </c>
      <c r="K13" s="9">
        <v>45607.0</v>
      </c>
      <c r="L13" s="10">
        <v>0.5104166666666666</v>
      </c>
      <c r="M13" s="7" t="s">
        <v>47</v>
      </c>
    </row>
    <row r="14">
      <c r="A14" s="6" t="s">
        <v>48</v>
      </c>
      <c r="B14" s="7">
        <v>1.0</v>
      </c>
      <c r="C14" s="7">
        <f t="shared" si="1"/>
        <v>13</v>
      </c>
      <c r="D14" s="7">
        <v>3.0</v>
      </c>
      <c r="E14" s="7" t="s">
        <v>14</v>
      </c>
      <c r="F14" s="7" t="b">
        <v>1</v>
      </c>
      <c r="G14" s="7">
        <v>0.0</v>
      </c>
      <c r="H14" s="7" t="s">
        <v>15</v>
      </c>
      <c r="I14" s="7" t="s">
        <v>16</v>
      </c>
      <c r="J14" s="8" t="s">
        <v>17</v>
      </c>
      <c r="K14" s="9" t="s">
        <v>49</v>
      </c>
      <c r="L14" s="16"/>
      <c r="M14" s="7" t="s">
        <v>50</v>
      </c>
    </row>
    <row r="15">
      <c r="A15" s="6" t="s">
        <v>51</v>
      </c>
      <c r="B15" s="7">
        <v>1.0</v>
      </c>
      <c r="C15" s="7">
        <f t="shared" si="1"/>
        <v>14</v>
      </c>
      <c r="D15" s="7">
        <v>3.0</v>
      </c>
      <c r="E15" s="7" t="s">
        <v>14</v>
      </c>
      <c r="F15" s="7" t="b">
        <v>1</v>
      </c>
      <c r="G15" s="7">
        <v>0.0</v>
      </c>
      <c r="H15" s="7" t="s">
        <v>15</v>
      </c>
      <c r="I15" s="7" t="s">
        <v>16</v>
      </c>
      <c r="J15" s="8"/>
      <c r="K15" s="9"/>
      <c r="L15" s="16"/>
      <c r="M15" s="7" t="s">
        <v>52</v>
      </c>
    </row>
    <row r="16">
      <c r="A16" s="6" t="s">
        <v>53</v>
      </c>
      <c r="B16" s="7">
        <v>1.0</v>
      </c>
      <c r="C16" s="7">
        <f t="shared" si="1"/>
        <v>15</v>
      </c>
      <c r="D16" s="7">
        <v>3.0</v>
      </c>
      <c r="E16" s="7" t="s">
        <v>14</v>
      </c>
      <c r="F16" s="7" t="b">
        <v>1</v>
      </c>
      <c r="G16" s="7">
        <v>0.0</v>
      </c>
      <c r="H16" s="7" t="s">
        <v>15</v>
      </c>
      <c r="I16" s="7" t="s">
        <v>16</v>
      </c>
      <c r="J16" s="8"/>
      <c r="K16" s="9"/>
      <c r="L16" s="16"/>
      <c r="M16" s="7" t="s">
        <v>54</v>
      </c>
    </row>
    <row r="17">
      <c r="A17" s="6" t="s">
        <v>55</v>
      </c>
      <c r="B17" s="7">
        <v>1.0</v>
      </c>
      <c r="C17" s="7">
        <f t="shared" si="1"/>
        <v>16</v>
      </c>
      <c r="D17" s="7">
        <v>3.0</v>
      </c>
      <c r="E17" s="7" t="s">
        <v>14</v>
      </c>
      <c r="F17" s="7" t="b">
        <v>1</v>
      </c>
      <c r="G17" s="7">
        <v>0.0</v>
      </c>
      <c r="H17" s="7" t="s">
        <v>15</v>
      </c>
      <c r="I17" s="7" t="s">
        <v>16</v>
      </c>
      <c r="J17" s="8" t="s">
        <v>56</v>
      </c>
      <c r="K17" s="9"/>
      <c r="L17" s="16"/>
      <c r="M17" s="7" t="s">
        <v>57</v>
      </c>
    </row>
    <row r="18">
      <c r="A18" s="6" t="s">
        <v>58</v>
      </c>
      <c r="B18" s="7">
        <v>1.0</v>
      </c>
      <c r="C18" s="7">
        <f t="shared" si="1"/>
        <v>17</v>
      </c>
      <c r="D18" s="7">
        <v>3.0</v>
      </c>
      <c r="E18" s="7" t="s">
        <v>14</v>
      </c>
      <c r="F18" s="7" t="b">
        <v>1</v>
      </c>
      <c r="G18" s="7">
        <v>0.0</v>
      </c>
      <c r="H18" s="7" t="s">
        <v>15</v>
      </c>
      <c r="I18" s="7" t="s">
        <v>16</v>
      </c>
      <c r="J18" s="8"/>
      <c r="K18" s="15"/>
      <c r="L18" s="16"/>
      <c r="M18" s="7" t="s">
        <v>59</v>
      </c>
    </row>
    <row r="19">
      <c r="A19" s="6" t="s">
        <v>60</v>
      </c>
      <c r="B19" s="7">
        <v>1.0</v>
      </c>
      <c r="C19" s="7">
        <f t="shared" si="1"/>
        <v>18</v>
      </c>
      <c r="D19" s="7">
        <v>3.0</v>
      </c>
      <c r="E19" s="7" t="s">
        <v>14</v>
      </c>
      <c r="F19" s="7" t="b">
        <v>1</v>
      </c>
      <c r="G19" s="7">
        <v>0.0</v>
      </c>
      <c r="H19" s="7" t="s">
        <v>15</v>
      </c>
      <c r="I19" s="7" t="s">
        <v>16</v>
      </c>
      <c r="J19" s="7"/>
      <c r="K19" s="9"/>
      <c r="L19" s="10"/>
      <c r="M19" s="7" t="s">
        <v>61</v>
      </c>
    </row>
    <row r="20">
      <c r="A20" s="6" t="s">
        <v>62</v>
      </c>
      <c r="B20" s="7">
        <v>1.0</v>
      </c>
      <c r="C20" s="7">
        <f t="shared" si="1"/>
        <v>19</v>
      </c>
      <c r="D20" s="7">
        <v>3.0</v>
      </c>
      <c r="E20" s="7" t="s">
        <v>14</v>
      </c>
      <c r="F20" s="7" t="b">
        <v>1</v>
      </c>
      <c r="G20" s="7">
        <v>0.0</v>
      </c>
      <c r="H20" s="7" t="s">
        <v>15</v>
      </c>
      <c r="I20" s="7" t="s">
        <v>16</v>
      </c>
      <c r="J20" s="7">
        <v>1711.0</v>
      </c>
      <c r="K20" s="9">
        <v>45607.0</v>
      </c>
      <c r="L20" s="10">
        <v>0.5208333333333334</v>
      </c>
      <c r="M20" s="7" t="s">
        <v>63</v>
      </c>
    </row>
    <row r="21">
      <c r="A21" s="6" t="s">
        <v>64</v>
      </c>
      <c r="B21" s="7">
        <v>1.0</v>
      </c>
      <c r="C21" s="7">
        <f t="shared" si="1"/>
        <v>20</v>
      </c>
      <c r="D21" s="7">
        <v>3.0</v>
      </c>
      <c r="E21" s="7" t="s">
        <v>14</v>
      </c>
      <c r="F21" s="7" t="b">
        <v>1</v>
      </c>
      <c r="G21" s="7">
        <v>0.0</v>
      </c>
      <c r="H21" s="7" t="s">
        <v>15</v>
      </c>
      <c r="I21" s="7" t="s">
        <v>64</v>
      </c>
      <c r="J21" s="7">
        <v>1111.0</v>
      </c>
      <c r="K21" s="9">
        <v>45607.0</v>
      </c>
      <c r="L21" s="10">
        <v>0.46597222222222223</v>
      </c>
      <c r="M21" s="7" t="s">
        <v>65</v>
      </c>
    </row>
    <row r="22">
      <c r="A22" s="6" t="s">
        <v>66</v>
      </c>
      <c r="B22" s="7">
        <v>1.0</v>
      </c>
      <c r="C22" s="7">
        <f t="shared" si="1"/>
        <v>21</v>
      </c>
      <c r="D22" s="7">
        <v>3.0</v>
      </c>
      <c r="E22" s="7" t="s">
        <v>14</v>
      </c>
      <c r="F22" s="7" t="b">
        <v>1</v>
      </c>
      <c r="G22" s="7">
        <v>0.0</v>
      </c>
      <c r="H22" s="7" t="s">
        <v>15</v>
      </c>
      <c r="I22" s="7" t="s">
        <v>64</v>
      </c>
      <c r="J22" s="7">
        <v>1111.0</v>
      </c>
      <c r="K22" s="15"/>
      <c r="L22" s="16"/>
      <c r="M22" s="7" t="s">
        <v>67</v>
      </c>
    </row>
    <row r="23">
      <c r="A23" s="6" t="s">
        <v>68</v>
      </c>
      <c r="B23" s="7">
        <v>1.0</v>
      </c>
      <c r="C23" s="7">
        <f t="shared" si="1"/>
        <v>22</v>
      </c>
      <c r="D23" s="7">
        <v>3.0</v>
      </c>
      <c r="E23" s="7" t="s">
        <v>14</v>
      </c>
      <c r="F23" s="7" t="b">
        <v>1</v>
      </c>
      <c r="G23" s="7">
        <v>0.0</v>
      </c>
      <c r="H23" s="7" t="s">
        <v>15</v>
      </c>
      <c r="I23" s="7" t="s">
        <v>64</v>
      </c>
      <c r="J23" s="7">
        <v>1111.0</v>
      </c>
      <c r="K23" s="15"/>
      <c r="L23" s="16"/>
      <c r="M23" s="7" t="s">
        <v>69</v>
      </c>
    </row>
    <row r="24">
      <c r="A24" s="6" t="s">
        <v>70</v>
      </c>
      <c r="B24" s="7">
        <v>1.0</v>
      </c>
      <c r="C24" s="7">
        <f t="shared" si="1"/>
        <v>23</v>
      </c>
      <c r="D24" s="7">
        <v>3.0</v>
      </c>
      <c r="E24" s="7" t="s">
        <v>14</v>
      </c>
      <c r="F24" s="7" t="b">
        <v>1</v>
      </c>
      <c r="G24" s="7">
        <v>0.0</v>
      </c>
      <c r="H24" s="7" t="s">
        <v>15</v>
      </c>
      <c r="I24" s="7" t="s">
        <v>64</v>
      </c>
      <c r="J24" s="7">
        <v>1111.0</v>
      </c>
      <c r="K24" s="15"/>
      <c r="L24" s="16"/>
      <c r="M24" s="7" t="s">
        <v>71</v>
      </c>
    </row>
    <row r="25">
      <c r="A25" s="18" t="s">
        <v>72</v>
      </c>
      <c r="B25" s="19">
        <v>1.0</v>
      </c>
      <c r="C25" s="19">
        <f t="shared" si="1"/>
        <v>24</v>
      </c>
      <c r="D25" s="19">
        <v>3.0</v>
      </c>
      <c r="E25" s="19" t="s">
        <v>14</v>
      </c>
      <c r="F25" s="19" t="b">
        <v>1</v>
      </c>
      <c r="G25" s="19">
        <v>0.0</v>
      </c>
      <c r="H25" s="19" t="s">
        <v>15</v>
      </c>
      <c r="I25" s="19" t="s">
        <v>64</v>
      </c>
      <c r="J25" s="19">
        <v>1111.0</v>
      </c>
      <c r="K25" s="20"/>
      <c r="L25" s="21"/>
      <c r="M25" s="19" t="s">
        <v>73</v>
      </c>
      <c r="N25" s="22"/>
      <c r="O25" s="22"/>
      <c r="P25" s="22"/>
      <c r="Q25" s="22"/>
      <c r="R25" s="22"/>
      <c r="S25" s="22"/>
      <c r="T25" s="22"/>
      <c r="U25" s="22"/>
      <c r="V25" s="22"/>
      <c r="W25" s="22"/>
      <c r="X25" s="22"/>
      <c r="Y25" s="22"/>
      <c r="Z25" s="22"/>
      <c r="AA25" s="22"/>
      <c r="AB25" s="22"/>
      <c r="AC25" s="22"/>
      <c r="AD25" s="22"/>
      <c r="AE25" s="22"/>
      <c r="AF25" s="22"/>
      <c r="AG25" s="22"/>
      <c r="AH25" s="22"/>
      <c r="AI25" s="22"/>
    </row>
    <row r="26">
      <c r="A26" s="6" t="s">
        <v>74</v>
      </c>
      <c r="B26" s="7">
        <v>2.0</v>
      </c>
      <c r="C26" s="7">
        <f t="shared" si="1"/>
        <v>25</v>
      </c>
      <c r="D26" s="7">
        <v>3.0</v>
      </c>
      <c r="E26" s="7" t="s">
        <v>14</v>
      </c>
      <c r="F26" s="7" t="b">
        <v>1</v>
      </c>
      <c r="G26" s="7">
        <v>0.0</v>
      </c>
      <c r="H26" s="7" t="s">
        <v>15</v>
      </c>
      <c r="I26" s="7" t="s">
        <v>75</v>
      </c>
      <c r="J26" s="7">
        <v>1707.0</v>
      </c>
      <c r="K26" s="15"/>
      <c r="L26" s="16"/>
      <c r="M26" s="7" t="s">
        <v>76</v>
      </c>
    </row>
    <row r="27">
      <c r="A27" s="6" t="s">
        <v>77</v>
      </c>
      <c r="B27" s="7">
        <v>2.0</v>
      </c>
      <c r="C27" s="7">
        <f t="shared" si="1"/>
        <v>26</v>
      </c>
      <c r="D27" s="7">
        <v>3.0</v>
      </c>
      <c r="E27" s="7" t="s">
        <v>14</v>
      </c>
      <c r="F27" s="7" t="b">
        <v>1</v>
      </c>
      <c r="G27" s="7">
        <v>0.0</v>
      </c>
      <c r="H27" s="7" t="s">
        <v>15</v>
      </c>
      <c r="I27" s="7" t="s">
        <v>75</v>
      </c>
      <c r="J27" s="7">
        <v>1687.0</v>
      </c>
      <c r="K27" s="15"/>
      <c r="L27" s="16"/>
      <c r="M27" s="7" t="s">
        <v>78</v>
      </c>
    </row>
    <row r="28">
      <c r="A28" s="6" t="s">
        <v>79</v>
      </c>
      <c r="B28" s="7">
        <v>2.0</v>
      </c>
      <c r="C28" s="7">
        <f t="shared" si="1"/>
        <v>27</v>
      </c>
      <c r="D28" s="7">
        <v>3.0</v>
      </c>
      <c r="E28" s="7" t="s">
        <v>14</v>
      </c>
      <c r="F28" s="7" t="b">
        <v>1</v>
      </c>
      <c r="G28" s="7">
        <v>0.0</v>
      </c>
      <c r="H28" s="7" t="s">
        <v>15</v>
      </c>
      <c r="I28" s="7" t="s">
        <v>75</v>
      </c>
      <c r="J28" s="7">
        <v>1698.0</v>
      </c>
      <c r="K28" s="15"/>
      <c r="L28" s="16"/>
      <c r="M28" s="7" t="s">
        <v>80</v>
      </c>
    </row>
    <row r="29">
      <c r="A29" s="6" t="s">
        <v>81</v>
      </c>
      <c r="B29" s="7">
        <v>2.0</v>
      </c>
      <c r="C29" s="7">
        <f t="shared" si="1"/>
        <v>28</v>
      </c>
      <c r="D29" s="7">
        <v>3.0</v>
      </c>
      <c r="E29" s="7" t="s">
        <v>14</v>
      </c>
      <c r="F29" s="7" t="b">
        <v>1</v>
      </c>
      <c r="G29" s="7">
        <v>0.0</v>
      </c>
      <c r="H29" s="7" t="s">
        <v>15</v>
      </c>
      <c r="I29" s="7" t="s">
        <v>75</v>
      </c>
      <c r="J29" s="7"/>
      <c r="K29" s="7"/>
      <c r="L29" s="7"/>
      <c r="M29" s="7" t="s">
        <v>82</v>
      </c>
    </row>
    <row r="30">
      <c r="A30" s="23" t="s">
        <v>83</v>
      </c>
      <c r="B30" s="1">
        <v>2.0</v>
      </c>
      <c r="C30" s="7">
        <f t="shared" si="1"/>
        <v>29</v>
      </c>
      <c r="D30" s="1">
        <v>3.0</v>
      </c>
      <c r="E30" s="1" t="s">
        <v>14</v>
      </c>
      <c r="F30" s="1" t="b">
        <v>1</v>
      </c>
      <c r="G30" s="1">
        <v>0.0</v>
      </c>
      <c r="H30" s="7" t="s">
        <v>15</v>
      </c>
      <c r="I30" s="1" t="s">
        <v>84</v>
      </c>
      <c r="J30" s="1"/>
      <c r="K30" s="4"/>
      <c r="L30" s="24"/>
      <c r="M30" s="1" t="s">
        <v>85</v>
      </c>
      <c r="N30" s="5"/>
      <c r="O30" s="5"/>
      <c r="P30" s="5"/>
      <c r="Q30" s="5"/>
      <c r="R30" s="5"/>
      <c r="S30" s="5"/>
      <c r="T30" s="5"/>
      <c r="U30" s="5"/>
      <c r="V30" s="5"/>
      <c r="W30" s="5"/>
      <c r="X30" s="5"/>
      <c r="Y30" s="5"/>
      <c r="Z30" s="5"/>
      <c r="AA30" s="5"/>
      <c r="AB30" s="5"/>
      <c r="AC30" s="5"/>
      <c r="AD30" s="5"/>
      <c r="AE30" s="5"/>
      <c r="AF30" s="5"/>
      <c r="AG30" s="5"/>
      <c r="AH30" s="5"/>
      <c r="AI30" s="5"/>
    </row>
    <row r="31">
      <c r="A31" s="6" t="s">
        <v>86</v>
      </c>
      <c r="B31" s="7">
        <v>2.0</v>
      </c>
      <c r="C31" s="7">
        <f t="shared" si="1"/>
        <v>30</v>
      </c>
      <c r="D31" s="7">
        <v>3.0</v>
      </c>
      <c r="E31" s="7" t="s">
        <v>14</v>
      </c>
      <c r="F31" s="7" t="b">
        <v>1</v>
      </c>
      <c r="G31" s="7">
        <v>0.0</v>
      </c>
      <c r="H31" s="7" t="s">
        <v>15</v>
      </c>
      <c r="I31" s="7" t="s">
        <v>75</v>
      </c>
      <c r="J31" s="7"/>
      <c r="K31" s="9"/>
      <c r="L31" s="10"/>
      <c r="M31" s="7" t="s">
        <v>87</v>
      </c>
    </row>
    <row r="32">
      <c r="A32" s="6" t="s">
        <v>88</v>
      </c>
      <c r="B32" s="7">
        <v>2.0</v>
      </c>
      <c r="C32" s="7">
        <f t="shared" si="1"/>
        <v>31</v>
      </c>
      <c r="D32" s="7">
        <v>3.0</v>
      </c>
      <c r="E32" s="7" t="s">
        <v>14</v>
      </c>
      <c r="F32" s="7" t="b">
        <v>1</v>
      </c>
      <c r="G32" s="7">
        <v>0.0</v>
      </c>
      <c r="H32" s="7" t="s">
        <v>15</v>
      </c>
      <c r="I32" s="7" t="s">
        <v>75</v>
      </c>
      <c r="J32" s="7"/>
      <c r="K32" s="7"/>
      <c r="L32" s="7"/>
      <c r="M32" s="7" t="s">
        <v>89</v>
      </c>
    </row>
    <row r="33">
      <c r="A33" s="6" t="s">
        <v>90</v>
      </c>
      <c r="B33" s="7">
        <v>2.0</v>
      </c>
      <c r="C33" s="7">
        <f t="shared" si="1"/>
        <v>32</v>
      </c>
      <c r="D33" s="7">
        <v>3.0</v>
      </c>
      <c r="E33" s="7" t="s">
        <v>14</v>
      </c>
      <c r="F33" s="7" t="b">
        <v>1</v>
      </c>
      <c r="G33" s="7">
        <v>0.0</v>
      </c>
      <c r="H33" s="7" t="s">
        <v>15</v>
      </c>
      <c r="I33" s="7" t="s">
        <v>75</v>
      </c>
      <c r="J33" s="7"/>
      <c r="K33" s="15"/>
      <c r="L33" s="16"/>
      <c r="M33" s="7" t="s">
        <v>91</v>
      </c>
    </row>
    <row r="34">
      <c r="A34" s="6" t="s">
        <v>92</v>
      </c>
      <c r="B34" s="7">
        <v>2.0</v>
      </c>
      <c r="C34" s="7">
        <f t="shared" si="1"/>
        <v>33</v>
      </c>
      <c r="D34" s="7">
        <v>3.0</v>
      </c>
      <c r="E34" s="7" t="s">
        <v>14</v>
      </c>
      <c r="F34" s="7" t="b">
        <v>1</v>
      </c>
      <c r="G34" s="7">
        <v>0.0</v>
      </c>
      <c r="H34" s="7" t="s">
        <v>15</v>
      </c>
      <c r="I34" s="7" t="s">
        <v>75</v>
      </c>
      <c r="J34" s="7">
        <v>1688.0</v>
      </c>
      <c r="K34" s="7">
        <v>6.0</v>
      </c>
      <c r="L34" s="7">
        <v>1.0</v>
      </c>
      <c r="M34" s="7" t="s">
        <v>93</v>
      </c>
    </row>
    <row r="35">
      <c r="A35" s="6" t="s">
        <v>94</v>
      </c>
      <c r="B35" s="7">
        <v>2.0</v>
      </c>
      <c r="C35" s="7">
        <f t="shared" si="1"/>
        <v>34</v>
      </c>
      <c r="D35" s="7">
        <v>3.0</v>
      </c>
      <c r="E35" s="7" t="s">
        <v>14</v>
      </c>
      <c r="F35" s="7" t="b">
        <v>1</v>
      </c>
      <c r="G35" s="7"/>
      <c r="H35" s="7" t="s">
        <v>15</v>
      </c>
      <c r="I35" s="7" t="s">
        <v>64</v>
      </c>
      <c r="J35" s="7"/>
      <c r="K35" s="15"/>
      <c r="L35" s="16"/>
    </row>
    <row r="36">
      <c r="A36" s="25" t="s">
        <v>95</v>
      </c>
      <c r="B36" s="7">
        <v>2.0</v>
      </c>
      <c r="C36" s="7">
        <f t="shared" si="1"/>
        <v>35</v>
      </c>
      <c r="D36" s="7">
        <v>3.0</v>
      </c>
      <c r="E36" s="7" t="s">
        <v>14</v>
      </c>
      <c r="F36" s="7" t="b">
        <v>1</v>
      </c>
      <c r="G36" s="7"/>
      <c r="H36" s="7" t="s">
        <v>15</v>
      </c>
      <c r="I36" s="7" t="s">
        <v>64</v>
      </c>
      <c r="J36" s="7">
        <v>1111.0</v>
      </c>
      <c r="K36" s="15"/>
      <c r="L36" s="16"/>
    </row>
    <row r="37">
      <c r="A37" s="26" t="s">
        <v>96</v>
      </c>
      <c r="B37" s="27">
        <v>2.0</v>
      </c>
      <c r="C37" s="27">
        <f t="shared" si="1"/>
        <v>36</v>
      </c>
      <c r="D37" s="27">
        <v>3.0</v>
      </c>
      <c r="E37" s="27" t="s">
        <v>14</v>
      </c>
      <c r="F37" s="27" t="b">
        <v>1</v>
      </c>
      <c r="G37" s="27"/>
      <c r="H37" s="27" t="s">
        <v>15</v>
      </c>
      <c r="I37" s="27" t="s">
        <v>64</v>
      </c>
      <c r="J37" s="27"/>
      <c r="K37" s="28"/>
      <c r="L37" s="29"/>
      <c r="M37" s="30"/>
      <c r="N37" s="30"/>
      <c r="O37" s="30"/>
      <c r="P37" s="30"/>
      <c r="Q37" s="30"/>
      <c r="R37" s="30"/>
      <c r="S37" s="30"/>
      <c r="T37" s="30"/>
      <c r="U37" s="30"/>
      <c r="V37" s="30"/>
      <c r="W37" s="30"/>
      <c r="X37" s="30"/>
      <c r="Y37" s="30"/>
      <c r="Z37" s="30"/>
      <c r="AA37" s="30"/>
      <c r="AB37" s="30"/>
      <c r="AC37" s="30"/>
      <c r="AD37" s="30"/>
      <c r="AE37" s="30"/>
      <c r="AF37" s="30"/>
      <c r="AG37" s="30"/>
      <c r="AH37" s="30"/>
      <c r="AI37" s="30"/>
    </row>
    <row r="38">
      <c r="A38" s="25" t="s">
        <v>97</v>
      </c>
      <c r="B38" s="7">
        <v>3.0</v>
      </c>
      <c r="C38" s="7">
        <f t="shared" si="1"/>
        <v>37</v>
      </c>
      <c r="D38" s="7">
        <v>3.0</v>
      </c>
      <c r="E38" s="7" t="s">
        <v>14</v>
      </c>
      <c r="F38" s="7" t="b">
        <v>1</v>
      </c>
      <c r="G38" s="7"/>
      <c r="H38" s="7" t="s">
        <v>98</v>
      </c>
      <c r="I38" s="7" t="s">
        <v>75</v>
      </c>
      <c r="J38" s="31"/>
      <c r="K38" s="15"/>
      <c r="L38" s="16"/>
      <c r="M38" s="7" t="s">
        <v>99</v>
      </c>
    </row>
    <row r="39">
      <c r="A39" s="25" t="s">
        <v>100</v>
      </c>
      <c r="B39" s="7">
        <v>3.0</v>
      </c>
      <c r="C39" s="7">
        <f t="shared" si="1"/>
        <v>38</v>
      </c>
      <c r="D39" s="7">
        <v>3.0</v>
      </c>
      <c r="E39" s="7" t="s">
        <v>14</v>
      </c>
      <c r="F39" s="7" t="b">
        <v>1</v>
      </c>
      <c r="G39" s="7"/>
      <c r="H39" s="7" t="s">
        <v>98</v>
      </c>
      <c r="I39" s="7" t="s">
        <v>75</v>
      </c>
      <c r="J39" s="31"/>
      <c r="K39" s="15"/>
      <c r="L39" s="16"/>
      <c r="M39" s="7" t="s">
        <v>101</v>
      </c>
    </row>
    <row r="40">
      <c r="A40" s="25" t="s">
        <v>102</v>
      </c>
      <c r="B40" s="7">
        <v>3.0</v>
      </c>
      <c r="C40" s="7">
        <f t="shared" si="1"/>
        <v>39</v>
      </c>
      <c r="D40" s="7">
        <v>3.0</v>
      </c>
      <c r="E40" s="7" t="s">
        <v>14</v>
      </c>
      <c r="F40" s="7" t="b">
        <v>1</v>
      </c>
      <c r="G40" s="7"/>
      <c r="H40" s="7" t="s">
        <v>98</v>
      </c>
      <c r="I40" s="7" t="s">
        <v>75</v>
      </c>
      <c r="J40" s="31"/>
      <c r="K40" s="15"/>
      <c r="L40" s="16"/>
      <c r="M40" s="7" t="s">
        <v>103</v>
      </c>
    </row>
    <row r="41">
      <c r="A41" s="32" t="s">
        <v>104</v>
      </c>
      <c r="B41" s="7">
        <v>3.0</v>
      </c>
      <c r="C41" s="7">
        <f t="shared" si="1"/>
        <v>40</v>
      </c>
      <c r="D41" s="7">
        <v>3.0</v>
      </c>
      <c r="E41" s="7" t="s">
        <v>14</v>
      </c>
      <c r="F41" s="7" t="b">
        <v>1</v>
      </c>
      <c r="G41" s="7"/>
      <c r="H41" s="7" t="s">
        <v>98</v>
      </c>
      <c r="I41" s="7" t="s">
        <v>75</v>
      </c>
      <c r="J41" s="31"/>
      <c r="K41" s="15"/>
      <c r="L41" s="16"/>
      <c r="M41" s="7" t="s">
        <v>105</v>
      </c>
    </row>
    <row r="42">
      <c r="A42" s="32" t="s">
        <v>106</v>
      </c>
      <c r="B42" s="7">
        <v>3.0</v>
      </c>
      <c r="C42" s="7">
        <f> C43+1</f>
        <v>42</v>
      </c>
      <c r="D42" s="7">
        <v>3.0</v>
      </c>
      <c r="E42" s="7" t="s">
        <v>107</v>
      </c>
      <c r="F42" s="7" t="b">
        <v>1</v>
      </c>
      <c r="G42" s="7"/>
      <c r="H42" s="7" t="s">
        <v>98</v>
      </c>
      <c r="I42" s="7" t="s">
        <v>75</v>
      </c>
      <c r="J42" s="7"/>
      <c r="K42" s="9"/>
      <c r="L42" s="10"/>
      <c r="M42" s="7"/>
    </row>
    <row r="43">
      <c r="A43" s="32" t="s">
        <v>108</v>
      </c>
      <c r="B43" s="7">
        <v>3.0</v>
      </c>
      <c r="C43" s="7">
        <f t="shared" ref="C43:C44" si="2"> C41+1</f>
        <v>41</v>
      </c>
      <c r="D43" s="7">
        <v>3.0</v>
      </c>
      <c r="E43" s="7" t="s">
        <v>107</v>
      </c>
      <c r="F43" s="7" t="b">
        <v>0</v>
      </c>
      <c r="G43" s="7"/>
      <c r="H43" s="7" t="s">
        <v>98</v>
      </c>
      <c r="I43" s="7" t="s">
        <v>75</v>
      </c>
      <c r="J43" s="31"/>
      <c r="K43" s="15"/>
      <c r="L43" s="16"/>
      <c r="M43" s="7" t="s">
        <v>109</v>
      </c>
    </row>
    <row r="44">
      <c r="A44" s="32" t="s">
        <v>110</v>
      </c>
      <c r="B44" s="7">
        <v>3.0</v>
      </c>
      <c r="C44" s="7">
        <f t="shared" si="2"/>
        <v>43</v>
      </c>
      <c r="D44" s="7">
        <v>2.0</v>
      </c>
      <c r="E44" s="7" t="s">
        <v>107</v>
      </c>
      <c r="F44" s="7" t="b">
        <v>1</v>
      </c>
      <c r="G44" s="7"/>
      <c r="H44" s="7" t="s">
        <v>98</v>
      </c>
      <c r="I44" s="7" t="s">
        <v>75</v>
      </c>
      <c r="J44" s="31"/>
      <c r="K44" s="15"/>
      <c r="L44" s="16"/>
      <c r="M44" s="7" t="s">
        <v>111</v>
      </c>
    </row>
    <row r="45">
      <c r="A45" s="32" t="s">
        <v>112</v>
      </c>
      <c r="B45" s="7">
        <v>3.0</v>
      </c>
      <c r="C45" s="7">
        <f t="shared" ref="C45:C114" si="3"> C44+1</f>
        <v>44</v>
      </c>
      <c r="D45" s="7">
        <v>3.0</v>
      </c>
      <c r="E45" s="7" t="s">
        <v>107</v>
      </c>
      <c r="F45" s="7" t="b">
        <v>0</v>
      </c>
      <c r="G45" s="7"/>
      <c r="H45" s="7" t="s">
        <v>98</v>
      </c>
      <c r="I45" s="7" t="s">
        <v>75</v>
      </c>
      <c r="J45" s="31"/>
      <c r="K45" s="15"/>
      <c r="L45" s="16"/>
      <c r="M45" s="7" t="s">
        <v>113</v>
      </c>
    </row>
    <row r="46">
      <c r="A46" s="32" t="s">
        <v>114</v>
      </c>
      <c r="B46" s="7">
        <v>3.0</v>
      </c>
      <c r="C46" s="7">
        <f t="shared" si="3"/>
        <v>45</v>
      </c>
      <c r="D46" s="7">
        <v>3.0</v>
      </c>
      <c r="E46" s="7" t="s">
        <v>107</v>
      </c>
      <c r="F46" s="7" t="b">
        <v>0</v>
      </c>
      <c r="G46" s="7"/>
      <c r="H46" s="7" t="s">
        <v>98</v>
      </c>
      <c r="I46" s="7" t="s">
        <v>75</v>
      </c>
      <c r="J46" s="31"/>
      <c r="K46" s="15"/>
      <c r="L46" s="16"/>
      <c r="M46" s="7" t="s">
        <v>115</v>
      </c>
    </row>
    <row r="47">
      <c r="A47" s="32" t="s">
        <v>116</v>
      </c>
      <c r="B47" s="7">
        <v>3.0</v>
      </c>
      <c r="C47" s="7">
        <f t="shared" si="3"/>
        <v>46</v>
      </c>
      <c r="D47" s="7">
        <v>3.0</v>
      </c>
      <c r="E47" s="7" t="s">
        <v>107</v>
      </c>
      <c r="F47" s="7" t="b">
        <v>1</v>
      </c>
      <c r="G47" s="7"/>
      <c r="H47" s="7" t="s">
        <v>98</v>
      </c>
      <c r="I47" s="7" t="s">
        <v>75</v>
      </c>
      <c r="J47" s="31"/>
      <c r="K47" s="15"/>
      <c r="L47" s="16"/>
      <c r="M47" s="7" t="s">
        <v>117</v>
      </c>
    </row>
    <row r="48">
      <c r="A48" s="32" t="s">
        <v>118</v>
      </c>
      <c r="B48" s="7">
        <v>3.0</v>
      </c>
      <c r="C48" s="7">
        <f t="shared" si="3"/>
        <v>47</v>
      </c>
      <c r="D48" s="7">
        <v>2.0</v>
      </c>
      <c r="E48" s="7" t="s">
        <v>107</v>
      </c>
      <c r="F48" s="7" t="b">
        <v>0</v>
      </c>
      <c r="G48" s="7"/>
      <c r="H48" s="7" t="s">
        <v>98</v>
      </c>
      <c r="I48" s="7" t="s">
        <v>75</v>
      </c>
      <c r="J48" s="31"/>
      <c r="K48" s="15"/>
      <c r="L48" s="16"/>
      <c r="M48" s="7" t="s">
        <v>119</v>
      </c>
    </row>
    <row r="49">
      <c r="A49" s="32" t="s">
        <v>120</v>
      </c>
      <c r="B49" s="7">
        <v>3.0</v>
      </c>
      <c r="C49" s="7">
        <f t="shared" si="3"/>
        <v>48</v>
      </c>
      <c r="D49" s="7">
        <v>2.0</v>
      </c>
      <c r="E49" s="7" t="s">
        <v>107</v>
      </c>
      <c r="F49" s="7" t="b">
        <v>0</v>
      </c>
      <c r="G49" s="7"/>
      <c r="H49" s="7" t="s">
        <v>98</v>
      </c>
      <c r="I49" s="7" t="s">
        <v>75</v>
      </c>
      <c r="J49" s="31"/>
      <c r="K49" s="15"/>
      <c r="L49" s="16"/>
      <c r="M49" s="7" t="s">
        <v>121</v>
      </c>
    </row>
    <row r="50">
      <c r="A50" s="32" t="s">
        <v>122</v>
      </c>
      <c r="B50" s="7">
        <v>3.0</v>
      </c>
      <c r="C50" s="7">
        <f t="shared" si="3"/>
        <v>49</v>
      </c>
      <c r="D50" s="7">
        <v>3.0</v>
      </c>
      <c r="E50" s="7" t="s">
        <v>107</v>
      </c>
      <c r="F50" s="7" t="b">
        <v>0</v>
      </c>
      <c r="G50" s="7"/>
      <c r="H50" s="7" t="s">
        <v>98</v>
      </c>
      <c r="I50" s="7" t="s">
        <v>75</v>
      </c>
      <c r="J50" s="31"/>
      <c r="K50" s="15"/>
      <c r="L50" s="16"/>
      <c r="M50" s="7" t="s">
        <v>123</v>
      </c>
    </row>
    <row r="51">
      <c r="A51" s="32" t="s">
        <v>124</v>
      </c>
      <c r="B51" s="7">
        <v>3.0</v>
      </c>
      <c r="C51" s="7">
        <f t="shared" si="3"/>
        <v>50</v>
      </c>
      <c r="D51" s="7">
        <v>3.0</v>
      </c>
      <c r="E51" s="7" t="s">
        <v>107</v>
      </c>
      <c r="F51" s="7" t="b">
        <v>0</v>
      </c>
      <c r="G51" s="7"/>
      <c r="H51" s="7" t="s">
        <v>98</v>
      </c>
      <c r="I51" s="7" t="s">
        <v>75</v>
      </c>
      <c r="J51" s="31"/>
      <c r="K51" s="15"/>
      <c r="L51" s="16"/>
      <c r="M51" s="7" t="s">
        <v>125</v>
      </c>
    </row>
    <row r="52">
      <c r="A52" s="32" t="s">
        <v>126</v>
      </c>
      <c r="B52" s="7">
        <v>3.0</v>
      </c>
      <c r="C52" s="7">
        <f t="shared" si="3"/>
        <v>51</v>
      </c>
      <c r="D52" s="7">
        <v>1.0</v>
      </c>
      <c r="E52" s="7" t="s">
        <v>107</v>
      </c>
      <c r="F52" s="7" t="b">
        <v>0</v>
      </c>
      <c r="G52" s="7"/>
      <c r="H52" s="7" t="s">
        <v>98</v>
      </c>
      <c r="I52" s="7" t="s">
        <v>75</v>
      </c>
      <c r="J52" s="31"/>
      <c r="K52" s="15"/>
      <c r="L52" s="16"/>
      <c r="M52" s="7" t="s">
        <v>127</v>
      </c>
    </row>
    <row r="53">
      <c r="A53" s="32" t="s">
        <v>128</v>
      </c>
      <c r="B53" s="7">
        <v>3.0</v>
      </c>
      <c r="C53" s="7">
        <f t="shared" si="3"/>
        <v>52</v>
      </c>
      <c r="D53" s="7">
        <v>2.0</v>
      </c>
      <c r="E53" s="7" t="s">
        <v>107</v>
      </c>
      <c r="F53" s="7" t="b">
        <v>0</v>
      </c>
      <c r="G53" s="7"/>
      <c r="H53" s="7" t="s">
        <v>98</v>
      </c>
      <c r="I53" s="7" t="s">
        <v>75</v>
      </c>
      <c r="J53" s="31"/>
      <c r="K53" s="15"/>
      <c r="L53" s="16"/>
      <c r="M53" s="7" t="s">
        <v>129</v>
      </c>
    </row>
    <row r="54">
      <c r="A54" s="32" t="s">
        <v>130</v>
      </c>
      <c r="B54" s="7">
        <v>3.0</v>
      </c>
      <c r="C54" s="7">
        <f t="shared" si="3"/>
        <v>53</v>
      </c>
      <c r="D54" s="7">
        <v>2.0</v>
      </c>
      <c r="E54" s="7" t="s">
        <v>14</v>
      </c>
      <c r="F54" s="7" t="b">
        <v>0</v>
      </c>
      <c r="G54" s="7"/>
      <c r="H54" s="7" t="s">
        <v>98</v>
      </c>
      <c r="I54" s="7" t="s">
        <v>75</v>
      </c>
      <c r="J54" s="31"/>
      <c r="K54" s="15"/>
      <c r="L54" s="16"/>
      <c r="M54" s="7" t="s">
        <v>131</v>
      </c>
    </row>
    <row r="55">
      <c r="A55" s="33" t="s">
        <v>132</v>
      </c>
      <c r="B55" s="27">
        <v>3.0</v>
      </c>
      <c r="C55" s="27">
        <f t="shared" si="3"/>
        <v>54</v>
      </c>
      <c r="D55" s="27">
        <v>1.0</v>
      </c>
      <c r="E55" s="27" t="s">
        <v>107</v>
      </c>
      <c r="F55" s="27" t="b">
        <v>0</v>
      </c>
      <c r="G55" s="27"/>
      <c r="H55" s="27" t="s">
        <v>98</v>
      </c>
      <c r="I55" s="27" t="s">
        <v>132</v>
      </c>
      <c r="J55" s="34"/>
      <c r="K55" s="28"/>
      <c r="L55" s="29"/>
      <c r="M55" s="27" t="s">
        <v>133</v>
      </c>
      <c r="N55" s="30"/>
      <c r="O55" s="30"/>
      <c r="P55" s="30"/>
      <c r="Q55" s="30"/>
      <c r="R55" s="30"/>
      <c r="S55" s="30"/>
      <c r="T55" s="30"/>
      <c r="U55" s="30"/>
      <c r="V55" s="30"/>
      <c r="W55" s="30"/>
      <c r="X55" s="30"/>
      <c r="Y55" s="30"/>
      <c r="Z55" s="30"/>
      <c r="AA55" s="30"/>
      <c r="AB55" s="30"/>
      <c r="AC55" s="30"/>
      <c r="AD55" s="30"/>
      <c r="AE55" s="30"/>
      <c r="AF55" s="30"/>
      <c r="AG55" s="30"/>
      <c r="AH55" s="30"/>
      <c r="AI55" s="30"/>
    </row>
    <row r="56">
      <c r="A56" s="32" t="s">
        <v>134</v>
      </c>
      <c r="B56" s="7">
        <v>4.0</v>
      </c>
      <c r="C56" s="7">
        <f t="shared" si="3"/>
        <v>55</v>
      </c>
      <c r="D56" s="7">
        <v>0.0</v>
      </c>
      <c r="E56" s="7" t="s">
        <v>107</v>
      </c>
      <c r="F56" s="7" t="b">
        <v>0</v>
      </c>
      <c r="G56" s="7"/>
      <c r="H56" s="7" t="s">
        <v>135</v>
      </c>
      <c r="I56" s="7" t="s">
        <v>75</v>
      </c>
      <c r="J56" s="31"/>
      <c r="K56" s="15"/>
      <c r="L56" s="16"/>
    </row>
    <row r="57">
      <c r="A57" s="32" t="s">
        <v>136</v>
      </c>
      <c r="B57" s="7">
        <v>4.0</v>
      </c>
      <c r="C57" s="7">
        <f t="shared" si="3"/>
        <v>56</v>
      </c>
      <c r="D57" s="7">
        <v>1.0</v>
      </c>
      <c r="E57" s="7" t="s">
        <v>107</v>
      </c>
      <c r="F57" s="7" t="b">
        <v>0</v>
      </c>
      <c r="G57" s="7"/>
      <c r="H57" s="7" t="s">
        <v>135</v>
      </c>
      <c r="I57" s="7" t="s">
        <v>75</v>
      </c>
      <c r="J57" s="31"/>
      <c r="K57" s="15"/>
      <c r="L57" s="16"/>
    </row>
    <row r="58">
      <c r="A58" s="32" t="s">
        <v>137</v>
      </c>
      <c r="B58" s="7">
        <v>4.0</v>
      </c>
      <c r="C58" s="7">
        <f t="shared" si="3"/>
        <v>57</v>
      </c>
      <c r="D58" s="7">
        <v>0.0</v>
      </c>
      <c r="E58" s="7" t="s">
        <v>107</v>
      </c>
      <c r="F58" s="7" t="b">
        <v>0</v>
      </c>
      <c r="G58" s="7"/>
      <c r="H58" s="7" t="s">
        <v>135</v>
      </c>
      <c r="I58" s="7" t="s">
        <v>75</v>
      </c>
      <c r="J58" s="31"/>
      <c r="K58" s="15"/>
      <c r="L58" s="16"/>
    </row>
    <row r="59">
      <c r="A59" s="32" t="s">
        <v>138</v>
      </c>
      <c r="B59" s="7">
        <v>4.0</v>
      </c>
      <c r="C59" s="7">
        <f t="shared" si="3"/>
        <v>58</v>
      </c>
      <c r="D59" s="7">
        <v>0.0</v>
      </c>
      <c r="E59" s="7" t="s">
        <v>107</v>
      </c>
      <c r="F59" s="7" t="b">
        <v>0</v>
      </c>
      <c r="G59" s="7"/>
      <c r="H59" s="7" t="s">
        <v>135</v>
      </c>
      <c r="I59" s="7" t="s">
        <v>75</v>
      </c>
      <c r="J59" s="31"/>
      <c r="K59" s="15"/>
      <c r="L59" s="16"/>
    </row>
    <row r="60">
      <c r="A60" s="32" t="s">
        <v>139</v>
      </c>
      <c r="B60" s="7">
        <v>4.0</v>
      </c>
      <c r="C60" s="7">
        <f t="shared" si="3"/>
        <v>59</v>
      </c>
      <c r="D60" s="7">
        <v>0.0</v>
      </c>
      <c r="E60" s="7" t="s">
        <v>107</v>
      </c>
      <c r="F60" s="7" t="b">
        <v>0</v>
      </c>
      <c r="G60" s="7"/>
      <c r="H60" s="7" t="s">
        <v>135</v>
      </c>
      <c r="I60" s="7" t="s">
        <v>75</v>
      </c>
      <c r="J60" s="31"/>
      <c r="K60" s="15"/>
      <c r="L60" s="16"/>
    </row>
    <row r="61">
      <c r="A61" s="32" t="s">
        <v>140</v>
      </c>
      <c r="B61" s="7">
        <v>4.0</v>
      </c>
      <c r="C61" s="7">
        <f t="shared" si="3"/>
        <v>60</v>
      </c>
      <c r="D61" s="7">
        <v>0.0</v>
      </c>
      <c r="E61" s="7" t="s">
        <v>107</v>
      </c>
      <c r="F61" s="7" t="b">
        <v>0</v>
      </c>
      <c r="G61" s="7"/>
      <c r="H61" s="7" t="s">
        <v>135</v>
      </c>
      <c r="I61" s="7" t="s">
        <v>75</v>
      </c>
      <c r="J61" s="31"/>
      <c r="K61" s="15"/>
      <c r="L61" s="16"/>
    </row>
    <row r="62">
      <c r="A62" s="32" t="s">
        <v>141</v>
      </c>
      <c r="B62" s="7">
        <v>4.0</v>
      </c>
      <c r="C62" s="7">
        <f t="shared" si="3"/>
        <v>61</v>
      </c>
      <c r="D62" s="7">
        <v>0.0</v>
      </c>
      <c r="E62" s="7" t="s">
        <v>107</v>
      </c>
      <c r="F62" s="7" t="b">
        <v>0</v>
      </c>
      <c r="G62" s="7"/>
      <c r="H62" s="7" t="s">
        <v>135</v>
      </c>
      <c r="I62" s="7" t="s">
        <v>75</v>
      </c>
      <c r="J62" s="31"/>
      <c r="K62" s="15"/>
      <c r="L62" s="16"/>
    </row>
    <row r="63">
      <c r="A63" s="32" t="s">
        <v>142</v>
      </c>
      <c r="B63" s="7">
        <v>4.0</v>
      </c>
      <c r="C63" s="7">
        <f t="shared" si="3"/>
        <v>62</v>
      </c>
      <c r="D63" s="7">
        <v>0.0</v>
      </c>
      <c r="E63" s="7" t="s">
        <v>107</v>
      </c>
      <c r="F63" s="7" t="b">
        <v>0</v>
      </c>
      <c r="G63" s="7"/>
      <c r="H63" s="7" t="s">
        <v>135</v>
      </c>
      <c r="I63" s="7" t="s">
        <v>75</v>
      </c>
      <c r="J63" s="31"/>
      <c r="K63" s="15"/>
      <c r="L63" s="16"/>
    </row>
    <row r="64">
      <c r="A64" s="32" t="s">
        <v>143</v>
      </c>
      <c r="B64" s="7">
        <v>4.0</v>
      </c>
      <c r="C64" s="7">
        <f t="shared" si="3"/>
        <v>63</v>
      </c>
      <c r="D64" s="7">
        <v>0.0</v>
      </c>
      <c r="E64" s="7" t="s">
        <v>107</v>
      </c>
      <c r="F64" s="7" t="b">
        <v>0</v>
      </c>
      <c r="G64" s="7"/>
      <c r="H64" s="7" t="s">
        <v>135</v>
      </c>
      <c r="I64" s="7" t="s">
        <v>75</v>
      </c>
      <c r="J64" s="31"/>
      <c r="K64" s="15"/>
      <c r="L64" s="16"/>
    </row>
    <row r="65">
      <c r="A65" s="32" t="s">
        <v>144</v>
      </c>
      <c r="B65" s="7">
        <v>4.0</v>
      </c>
      <c r="C65" s="7">
        <f t="shared" si="3"/>
        <v>64</v>
      </c>
      <c r="D65" s="7">
        <v>0.0</v>
      </c>
      <c r="E65" s="7" t="s">
        <v>107</v>
      </c>
      <c r="F65" s="7" t="b">
        <v>0</v>
      </c>
      <c r="G65" s="7"/>
      <c r="H65" s="7" t="s">
        <v>135</v>
      </c>
      <c r="I65" s="7" t="s">
        <v>75</v>
      </c>
      <c r="J65" s="31"/>
      <c r="K65" s="15"/>
      <c r="L65" s="16"/>
    </row>
    <row r="66">
      <c r="A66" s="32" t="s">
        <v>145</v>
      </c>
      <c r="B66" s="7">
        <v>4.0</v>
      </c>
      <c r="C66" s="7">
        <f t="shared" si="3"/>
        <v>65</v>
      </c>
      <c r="D66" s="7">
        <v>0.0</v>
      </c>
      <c r="E66" s="7" t="s">
        <v>107</v>
      </c>
      <c r="F66" s="7" t="b">
        <v>0</v>
      </c>
      <c r="G66" s="7"/>
      <c r="H66" s="7" t="s">
        <v>135</v>
      </c>
      <c r="I66" s="7" t="s">
        <v>75</v>
      </c>
      <c r="J66" s="31"/>
      <c r="K66" s="15"/>
      <c r="L66" s="16"/>
    </row>
    <row r="67">
      <c r="A67" s="32" t="s">
        <v>146</v>
      </c>
      <c r="B67" s="7">
        <v>4.0</v>
      </c>
      <c r="C67" s="7">
        <f t="shared" si="3"/>
        <v>66</v>
      </c>
      <c r="D67" s="7">
        <v>0.0</v>
      </c>
      <c r="E67" s="7" t="s">
        <v>107</v>
      </c>
      <c r="F67" s="7" t="b">
        <v>0</v>
      </c>
      <c r="G67" s="7"/>
      <c r="H67" s="7" t="s">
        <v>135</v>
      </c>
      <c r="I67" s="7" t="s">
        <v>75</v>
      </c>
      <c r="J67" s="31"/>
      <c r="K67" s="15"/>
      <c r="L67" s="16"/>
    </row>
    <row r="68">
      <c r="A68" s="32" t="s">
        <v>147</v>
      </c>
      <c r="B68" s="7">
        <v>4.0</v>
      </c>
      <c r="C68" s="7">
        <f t="shared" si="3"/>
        <v>67</v>
      </c>
      <c r="D68" s="7">
        <v>0.0</v>
      </c>
      <c r="E68" s="7" t="s">
        <v>107</v>
      </c>
      <c r="F68" s="7" t="b">
        <v>0</v>
      </c>
      <c r="G68" s="7"/>
      <c r="H68" s="7" t="s">
        <v>135</v>
      </c>
      <c r="I68" s="7" t="s">
        <v>75</v>
      </c>
      <c r="J68" s="31"/>
      <c r="K68" s="15"/>
      <c r="L68" s="16"/>
    </row>
    <row r="69">
      <c r="A69" s="32" t="s">
        <v>148</v>
      </c>
      <c r="B69" s="7">
        <v>4.0</v>
      </c>
      <c r="C69" s="7">
        <f t="shared" si="3"/>
        <v>68</v>
      </c>
      <c r="D69" s="7">
        <v>0.0</v>
      </c>
      <c r="E69" s="7" t="s">
        <v>149</v>
      </c>
      <c r="F69" s="7" t="b">
        <v>0</v>
      </c>
      <c r="G69" s="7"/>
      <c r="H69" s="7" t="s">
        <v>135</v>
      </c>
      <c r="I69" s="7" t="s">
        <v>75</v>
      </c>
      <c r="J69" s="31"/>
      <c r="K69" s="15"/>
      <c r="L69" s="16"/>
    </row>
    <row r="70">
      <c r="A70" s="32" t="s">
        <v>150</v>
      </c>
      <c r="B70" s="7">
        <v>4.0</v>
      </c>
      <c r="C70" s="7">
        <f t="shared" si="3"/>
        <v>69</v>
      </c>
      <c r="D70" s="7">
        <v>0.0</v>
      </c>
      <c r="E70" s="7" t="s">
        <v>107</v>
      </c>
      <c r="F70" s="7" t="b">
        <v>0</v>
      </c>
      <c r="G70" s="7"/>
      <c r="H70" s="7" t="s">
        <v>135</v>
      </c>
      <c r="I70" s="7" t="s">
        <v>75</v>
      </c>
      <c r="J70" s="31"/>
      <c r="K70" s="15"/>
      <c r="L70" s="16"/>
    </row>
    <row r="71">
      <c r="A71" s="32" t="s">
        <v>151</v>
      </c>
      <c r="B71" s="7">
        <v>4.0</v>
      </c>
      <c r="C71" s="7">
        <f t="shared" si="3"/>
        <v>70</v>
      </c>
      <c r="D71" s="7">
        <v>0.0</v>
      </c>
      <c r="E71" s="7" t="s">
        <v>107</v>
      </c>
      <c r="F71" s="7" t="b">
        <v>0</v>
      </c>
      <c r="G71" s="7"/>
      <c r="H71" s="7" t="s">
        <v>135</v>
      </c>
      <c r="I71" s="7" t="s">
        <v>75</v>
      </c>
      <c r="J71" s="31"/>
      <c r="K71" s="15"/>
      <c r="L71" s="16"/>
    </row>
    <row r="72">
      <c r="A72" s="32" t="s">
        <v>152</v>
      </c>
      <c r="B72" s="7">
        <v>4.0</v>
      </c>
      <c r="C72" s="7">
        <f t="shared" si="3"/>
        <v>71</v>
      </c>
      <c r="D72" s="7">
        <v>3.0</v>
      </c>
      <c r="E72" s="7" t="s">
        <v>107</v>
      </c>
      <c r="F72" s="7" t="b">
        <v>0</v>
      </c>
      <c r="G72" s="7"/>
      <c r="H72" s="7" t="s">
        <v>135</v>
      </c>
      <c r="I72" s="7" t="s">
        <v>152</v>
      </c>
      <c r="J72" s="31"/>
      <c r="K72" s="15"/>
      <c r="L72" s="16"/>
    </row>
    <row r="73">
      <c r="A73" s="35" t="s">
        <v>153</v>
      </c>
      <c r="B73" s="19">
        <v>4.0</v>
      </c>
      <c r="C73" s="19">
        <f t="shared" si="3"/>
        <v>72</v>
      </c>
      <c r="D73" s="19">
        <v>3.0</v>
      </c>
      <c r="E73" s="19" t="s">
        <v>107</v>
      </c>
      <c r="F73" s="19" t="b">
        <v>0</v>
      </c>
      <c r="G73" s="19"/>
      <c r="H73" s="19" t="s">
        <v>135</v>
      </c>
      <c r="I73" s="19" t="s">
        <v>152</v>
      </c>
      <c r="J73" s="36"/>
      <c r="K73" s="20"/>
      <c r="L73" s="21"/>
      <c r="M73" s="22"/>
      <c r="N73" s="22"/>
      <c r="O73" s="22"/>
      <c r="P73" s="22"/>
      <c r="Q73" s="22"/>
      <c r="R73" s="22"/>
      <c r="S73" s="22"/>
      <c r="T73" s="22"/>
      <c r="U73" s="22"/>
      <c r="V73" s="22"/>
      <c r="W73" s="22"/>
      <c r="X73" s="22"/>
      <c r="Y73" s="22"/>
      <c r="Z73" s="22"/>
      <c r="AA73" s="22"/>
      <c r="AB73" s="22"/>
      <c r="AC73" s="22"/>
      <c r="AD73" s="22"/>
      <c r="AE73" s="22"/>
      <c r="AF73" s="22"/>
      <c r="AG73" s="22"/>
      <c r="AH73" s="22"/>
      <c r="AI73" s="22"/>
    </row>
    <row r="74">
      <c r="A74" s="32" t="s">
        <v>154</v>
      </c>
      <c r="B74" s="7">
        <v>5.0</v>
      </c>
      <c r="C74" s="7">
        <f t="shared" si="3"/>
        <v>73</v>
      </c>
      <c r="D74" s="16"/>
      <c r="E74" s="7" t="s">
        <v>107</v>
      </c>
      <c r="F74" s="7" t="b">
        <v>0</v>
      </c>
      <c r="G74" s="7"/>
      <c r="H74" s="7" t="s">
        <v>15</v>
      </c>
      <c r="I74" s="7" t="s">
        <v>155</v>
      </c>
      <c r="J74" s="31"/>
      <c r="K74" s="15"/>
      <c r="L74" s="16"/>
    </row>
    <row r="75">
      <c r="A75" s="32" t="s">
        <v>156</v>
      </c>
      <c r="B75" s="7">
        <v>5.0</v>
      </c>
      <c r="C75" s="7">
        <f t="shared" si="3"/>
        <v>74</v>
      </c>
      <c r="D75" s="7">
        <v>2.0</v>
      </c>
      <c r="E75" s="7" t="s">
        <v>107</v>
      </c>
      <c r="F75" s="7" t="b">
        <v>0</v>
      </c>
      <c r="G75" s="7"/>
      <c r="H75" s="7" t="s">
        <v>15</v>
      </c>
      <c r="I75" s="7" t="s">
        <v>155</v>
      </c>
      <c r="J75" s="31"/>
      <c r="K75" s="15"/>
      <c r="L75" s="16"/>
      <c r="M75" s="7" t="s">
        <v>157</v>
      </c>
    </row>
    <row r="76">
      <c r="A76" s="37" t="s">
        <v>158</v>
      </c>
      <c r="B76" s="1">
        <v>5.0</v>
      </c>
      <c r="C76" s="1">
        <f t="shared" si="3"/>
        <v>75</v>
      </c>
      <c r="D76" s="1">
        <v>1.0</v>
      </c>
      <c r="E76" s="7" t="s">
        <v>107</v>
      </c>
      <c r="F76" s="1" t="b">
        <v>0</v>
      </c>
      <c r="G76" s="1"/>
      <c r="H76" s="7" t="s">
        <v>15</v>
      </c>
      <c r="I76" s="1" t="s">
        <v>84</v>
      </c>
      <c r="J76" s="1"/>
      <c r="K76" s="38"/>
      <c r="L76" s="39"/>
      <c r="M76" s="1" t="s">
        <v>159</v>
      </c>
      <c r="N76" s="5"/>
      <c r="O76" s="5"/>
      <c r="P76" s="5"/>
      <c r="Q76" s="5"/>
      <c r="R76" s="5"/>
      <c r="S76" s="5"/>
      <c r="T76" s="5"/>
      <c r="U76" s="5"/>
      <c r="V76" s="5"/>
      <c r="W76" s="5"/>
      <c r="X76" s="5"/>
      <c r="Y76" s="5"/>
      <c r="Z76" s="5"/>
      <c r="AA76" s="5"/>
      <c r="AB76" s="5"/>
      <c r="AC76" s="5"/>
      <c r="AD76" s="5"/>
      <c r="AE76" s="5"/>
      <c r="AF76" s="5"/>
      <c r="AG76" s="5"/>
      <c r="AH76" s="5"/>
      <c r="AI76" s="5"/>
    </row>
    <row r="77">
      <c r="A77" s="32" t="s">
        <v>160</v>
      </c>
      <c r="B77" s="7">
        <v>5.0</v>
      </c>
      <c r="C77" s="7">
        <f t="shared" si="3"/>
        <v>76</v>
      </c>
      <c r="D77" s="7">
        <v>2.0</v>
      </c>
      <c r="E77" s="7" t="s">
        <v>107</v>
      </c>
      <c r="F77" s="7" t="b">
        <v>0</v>
      </c>
      <c r="G77" s="7"/>
      <c r="H77" s="7" t="s">
        <v>15</v>
      </c>
      <c r="I77" s="7" t="s">
        <v>155</v>
      </c>
      <c r="J77" s="31"/>
      <c r="K77" s="15"/>
      <c r="L77" s="16"/>
      <c r="M77" s="7" t="s">
        <v>161</v>
      </c>
    </row>
    <row r="78">
      <c r="A78" s="32" t="s">
        <v>162</v>
      </c>
      <c r="B78" s="7">
        <v>5.0</v>
      </c>
      <c r="C78" s="7">
        <f t="shared" si="3"/>
        <v>77</v>
      </c>
      <c r="D78" s="7">
        <v>0.0</v>
      </c>
      <c r="E78" s="7" t="s">
        <v>107</v>
      </c>
      <c r="F78" s="7" t="b">
        <v>0</v>
      </c>
      <c r="G78" s="7"/>
      <c r="H78" s="7"/>
      <c r="I78" s="7"/>
      <c r="J78" s="31"/>
      <c r="K78" s="15"/>
      <c r="L78" s="16"/>
      <c r="M78" s="7"/>
    </row>
    <row r="79">
      <c r="A79" s="40" t="s">
        <v>163</v>
      </c>
      <c r="B79" s="7">
        <v>5.0</v>
      </c>
      <c r="C79" s="7">
        <f t="shared" si="3"/>
        <v>78</v>
      </c>
      <c r="D79" s="16"/>
      <c r="E79" s="7" t="s">
        <v>107</v>
      </c>
      <c r="F79" s="7" t="b">
        <v>1</v>
      </c>
      <c r="G79" s="7"/>
      <c r="H79" s="7" t="s">
        <v>15</v>
      </c>
      <c r="I79" s="7" t="s">
        <v>155</v>
      </c>
      <c r="J79" s="31"/>
      <c r="K79" s="15"/>
      <c r="L79" s="16"/>
      <c r="M79" s="7" t="s">
        <v>164</v>
      </c>
    </row>
    <row r="80">
      <c r="A80" s="40" t="s">
        <v>165</v>
      </c>
      <c r="B80" s="7">
        <v>5.0</v>
      </c>
      <c r="C80" s="7">
        <f t="shared" si="3"/>
        <v>79</v>
      </c>
      <c r="D80" s="16"/>
      <c r="E80" s="7" t="s">
        <v>107</v>
      </c>
      <c r="F80" s="7" t="b">
        <v>0</v>
      </c>
      <c r="G80" s="7"/>
      <c r="H80" s="7" t="s">
        <v>15</v>
      </c>
      <c r="I80" s="7" t="s">
        <v>155</v>
      </c>
      <c r="J80" s="31"/>
      <c r="K80" s="15"/>
      <c r="L80" s="16"/>
      <c r="M80" s="7" t="s">
        <v>166</v>
      </c>
    </row>
    <row r="81">
      <c r="A81" s="40" t="s">
        <v>167</v>
      </c>
      <c r="B81" s="7">
        <v>5.0</v>
      </c>
      <c r="C81" s="7">
        <f t="shared" si="3"/>
        <v>80</v>
      </c>
      <c r="D81" s="16"/>
      <c r="E81" s="7" t="s">
        <v>107</v>
      </c>
      <c r="F81" s="7" t="b">
        <v>0</v>
      </c>
      <c r="G81" s="7"/>
      <c r="H81" s="7" t="s">
        <v>15</v>
      </c>
      <c r="I81" s="7" t="s">
        <v>155</v>
      </c>
      <c r="J81" s="31"/>
      <c r="K81" s="15"/>
      <c r="L81" s="16"/>
      <c r="M81" s="7" t="s">
        <v>168</v>
      </c>
    </row>
    <row r="82">
      <c r="A82" s="32" t="s">
        <v>169</v>
      </c>
      <c r="B82" s="7">
        <v>5.0</v>
      </c>
      <c r="C82" s="7">
        <f t="shared" si="3"/>
        <v>81</v>
      </c>
      <c r="D82" s="7">
        <v>1.0</v>
      </c>
      <c r="E82" s="7" t="s">
        <v>107</v>
      </c>
      <c r="F82" s="7" t="b">
        <v>0</v>
      </c>
      <c r="G82" s="7"/>
      <c r="H82" s="7" t="s">
        <v>15</v>
      </c>
      <c r="I82" s="7" t="s">
        <v>155</v>
      </c>
      <c r="J82" s="31"/>
      <c r="K82" s="15"/>
      <c r="L82" s="16"/>
      <c r="M82" s="7" t="s">
        <v>170</v>
      </c>
    </row>
    <row r="83">
      <c r="A83" s="32" t="s">
        <v>171</v>
      </c>
      <c r="B83" s="7">
        <v>5.0</v>
      </c>
      <c r="C83" s="7">
        <f t="shared" si="3"/>
        <v>82</v>
      </c>
      <c r="D83" s="7">
        <v>1.0</v>
      </c>
      <c r="E83" s="7" t="s">
        <v>107</v>
      </c>
      <c r="F83" s="7" t="b">
        <v>0</v>
      </c>
      <c r="G83" s="7"/>
      <c r="H83" s="7" t="s">
        <v>15</v>
      </c>
      <c r="I83" s="7" t="s">
        <v>155</v>
      </c>
      <c r="J83" s="31"/>
      <c r="K83" s="15"/>
      <c r="L83" s="16"/>
    </row>
    <row r="84">
      <c r="A84" s="32" t="s">
        <v>172</v>
      </c>
      <c r="B84" s="7">
        <v>5.0</v>
      </c>
      <c r="C84" s="7">
        <f t="shared" si="3"/>
        <v>83</v>
      </c>
      <c r="D84" s="7">
        <v>1.0</v>
      </c>
      <c r="E84" s="7" t="s">
        <v>107</v>
      </c>
      <c r="F84" s="7" t="b">
        <v>0</v>
      </c>
      <c r="G84" s="7"/>
      <c r="H84" s="7" t="s">
        <v>15</v>
      </c>
      <c r="I84" s="7" t="s">
        <v>155</v>
      </c>
      <c r="J84" s="31"/>
      <c r="K84" s="15"/>
      <c r="L84" s="16"/>
      <c r="M84" s="7" t="s">
        <v>173</v>
      </c>
    </row>
    <row r="85">
      <c r="A85" s="32" t="s">
        <v>174</v>
      </c>
      <c r="B85" s="7">
        <v>5.0</v>
      </c>
      <c r="C85" s="7">
        <f t="shared" si="3"/>
        <v>84</v>
      </c>
      <c r="D85" s="7">
        <v>0.0</v>
      </c>
      <c r="E85" s="7" t="s">
        <v>107</v>
      </c>
      <c r="F85" s="7" t="b">
        <v>0</v>
      </c>
      <c r="G85" s="7"/>
      <c r="H85" s="7" t="s">
        <v>15</v>
      </c>
      <c r="I85" s="7" t="s">
        <v>155</v>
      </c>
      <c r="J85" s="31"/>
      <c r="K85" s="15"/>
      <c r="L85" s="16"/>
      <c r="M85" s="7"/>
    </row>
    <row r="86">
      <c r="A86" s="32" t="s">
        <v>175</v>
      </c>
      <c r="B86" s="7">
        <v>5.0</v>
      </c>
      <c r="C86" s="7">
        <f t="shared" si="3"/>
        <v>85</v>
      </c>
      <c r="D86" s="7">
        <v>1.0</v>
      </c>
      <c r="E86" s="7" t="s">
        <v>107</v>
      </c>
      <c r="F86" s="7" t="b">
        <v>0</v>
      </c>
      <c r="G86" s="7"/>
      <c r="H86" s="7" t="s">
        <v>15</v>
      </c>
      <c r="I86" s="7" t="s">
        <v>155</v>
      </c>
      <c r="J86" s="31"/>
      <c r="K86" s="15"/>
      <c r="L86" s="16"/>
      <c r="M86" s="7" t="s">
        <v>176</v>
      </c>
    </row>
    <row r="87">
      <c r="A87" s="41" t="s">
        <v>177</v>
      </c>
      <c r="B87" s="7">
        <v>5.0</v>
      </c>
      <c r="C87" s="7">
        <f t="shared" si="3"/>
        <v>86</v>
      </c>
      <c r="D87" s="7">
        <v>0.0</v>
      </c>
      <c r="E87" s="7" t="s">
        <v>107</v>
      </c>
      <c r="F87" s="7" t="b">
        <v>0</v>
      </c>
      <c r="G87" s="7"/>
      <c r="H87" s="7" t="s">
        <v>15</v>
      </c>
      <c r="I87" s="7" t="s">
        <v>155</v>
      </c>
      <c r="J87" s="31"/>
      <c r="K87" s="15"/>
      <c r="L87" s="16"/>
      <c r="M87" s="7" t="s">
        <v>178</v>
      </c>
    </row>
    <row r="88">
      <c r="A88" s="42" t="s">
        <v>179</v>
      </c>
      <c r="B88" s="43">
        <v>6.0</v>
      </c>
      <c r="C88" s="7">
        <f t="shared" si="3"/>
        <v>87</v>
      </c>
      <c r="D88" s="7">
        <v>3.0</v>
      </c>
      <c r="E88" s="43" t="s">
        <v>107</v>
      </c>
      <c r="F88" s="43" t="b">
        <v>0</v>
      </c>
      <c r="G88" s="43"/>
      <c r="H88" s="43" t="s">
        <v>98</v>
      </c>
      <c r="I88" s="43" t="s">
        <v>155</v>
      </c>
      <c r="J88" s="44"/>
      <c r="K88" s="45"/>
      <c r="L88" s="46"/>
      <c r="M88" s="43"/>
      <c r="N88" s="47"/>
      <c r="O88" s="47"/>
      <c r="P88" s="47"/>
      <c r="Q88" s="47"/>
      <c r="R88" s="47"/>
      <c r="S88" s="47"/>
      <c r="T88" s="47"/>
      <c r="U88" s="47"/>
      <c r="V88" s="47"/>
      <c r="W88" s="47"/>
      <c r="X88" s="47"/>
      <c r="Y88" s="47"/>
      <c r="Z88" s="47"/>
      <c r="AA88" s="47"/>
      <c r="AB88" s="47"/>
      <c r="AC88" s="47"/>
      <c r="AD88" s="47"/>
      <c r="AE88" s="47"/>
      <c r="AF88" s="47"/>
      <c r="AG88" s="47"/>
      <c r="AH88" s="47"/>
      <c r="AI88" s="47"/>
    </row>
    <row r="89">
      <c r="A89" s="32" t="s">
        <v>180</v>
      </c>
      <c r="B89" s="7">
        <v>6.0</v>
      </c>
      <c r="C89" s="7">
        <f t="shared" si="3"/>
        <v>88</v>
      </c>
      <c r="D89" s="7">
        <v>0.0</v>
      </c>
      <c r="E89" s="7" t="s">
        <v>149</v>
      </c>
      <c r="F89" s="7" t="b">
        <v>0</v>
      </c>
      <c r="G89" s="7"/>
      <c r="H89" s="7" t="s">
        <v>98</v>
      </c>
      <c r="I89" s="7" t="s">
        <v>155</v>
      </c>
      <c r="J89" s="31"/>
      <c r="K89" s="15"/>
      <c r="L89" s="16"/>
      <c r="M89" s="7"/>
    </row>
    <row r="90">
      <c r="A90" s="32" t="s">
        <v>181</v>
      </c>
      <c r="B90" s="7">
        <v>6.0</v>
      </c>
      <c r="C90" s="7">
        <f t="shared" si="3"/>
        <v>89</v>
      </c>
      <c r="D90" s="7">
        <v>3.0</v>
      </c>
      <c r="E90" s="7" t="s">
        <v>107</v>
      </c>
      <c r="F90" s="7" t="b">
        <v>0</v>
      </c>
      <c r="G90" s="7"/>
      <c r="H90" s="7" t="s">
        <v>98</v>
      </c>
      <c r="I90" s="7" t="s">
        <v>155</v>
      </c>
      <c r="J90" s="31"/>
      <c r="K90" s="15"/>
      <c r="L90" s="16"/>
      <c r="M90" s="7"/>
    </row>
    <row r="91">
      <c r="A91" s="33" t="s">
        <v>182</v>
      </c>
      <c r="B91" s="27">
        <v>6.0</v>
      </c>
      <c r="C91" s="27">
        <f t="shared" si="3"/>
        <v>90</v>
      </c>
      <c r="D91" s="27">
        <v>1.0</v>
      </c>
      <c r="E91" s="27" t="s">
        <v>149</v>
      </c>
      <c r="F91" s="27" t="b">
        <v>0</v>
      </c>
      <c r="G91" s="27"/>
      <c r="H91" s="27" t="s">
        <v>98</v>
      </c>
      <c r="I91" s="27" t="s">
        <v>155</v>
      </c>
      <c r="J91" s="34"/>
      <c r="K91" s="28"/>
      <c r="L91" s="29"/>
      <c r="M91" s="27"/>
      <c r="N91" s="30"/>
      <c r="O91" s="30"/>
      <c r="P91" s="30"/>
      <c r="Q91" s="30"/>
      <c r="R91" s="30"/>
      <c r="S91" s="30"/>
      <c r="T91" s="30"/>
      <c r="U91" s="30"/>
      <c r="V91" s="30"/>
      <c r="W91" s="30"/>
      <c r="X91" s="30"/>
      <c r="Y91" s="30"/>
      <c r="Z91" s="30"/>
      <c r="AA91" s="30"/>
      <c r="AB91" s="30"/>
      <c r="AC91" s="30"/>
      <c r="AD91" s="30"/>
      <c r="AE91" s="30"/>
      <c r="AF91" s="30"/>
      <c r="AG91" s="30"/>
      <c r="AH91" s="30"/>
      <c r="AI91" s="30"/>
    </row>
    <row r="92">
      <c r="A92" s="32" t="s">
        <v>183</v>
      </c>
      <c r="B92" s="7">
        <v>7.0</v>
      </c>
      <c r="C92" s="7">
        <f t="shared" si="3"/>
        <v>91</v>
      </c>
      <c r="D92" s="16"/>
      <c r="E92" s="7" t="s">
        <v>149</v>
      </c>
      <c r="F92" s="7" t="b">
        <v>0</v>
      </c>
      <c r="G92" s="7"/>
      <c r="H92" s="7" t="s">
        <v>135</v>
      </c>
      <c r="I92" s="7" t="s">
        <v>155</v>
      </c>
      <c r="J92" s="31"/>
      <c r="K92" s="15"/>
      <c r="L92" s="16"/>
      <c r="M92" s="7"/>
    </row>
    <row r="93">
      <c r="A93" s="48" t="s">
        <v>184</v>
      </c>
      <c r="B93" s="49">
        <v>8.0</v>
      </c>
      <c r="C93" s="7">
        <f t="shared" si="3"/>
        <v>92</v>
      </c>
      <c r="D93" s="49">
        <v>0.0</v>
      </c>
      <c r="E93" s="49" t="s">
        <v>107</v>
      </c>
      <c r="F93" s="49" t="b">
        <v>0</v>
      </c>
      <c r="G93" s="49"/>
      <c r="H93" s="7" t="s">
        <v>15</v>
      </c>
      <c r="I93" s="49" t="s">
        <v>185</v>
      </c>
      <c r="J93" s="49"/>
      <c r="K93" s="50"/>
      <c r="L93" s="51"/>
      <c r="M93" s="49"/>
      <c r="N93" s="52"/>
      <c r="O93" s="52"/>
      <c r="P93" s="52"/>
      <c r="Q93" s="52"/>
      <c r="R93" s="52"/>
      <c r="S93" s="52"/>
      <c r="T93" s="52"/>
      <c r="U93" s="52"/>
      <c r="V93" s="52"/>
      <c r="W93" s="52"/>
      <c r="X93" s="52"/>
      <c r="Y93" s="52"/>
      <c r="Z93" s="52"/>
      <c r="AA93" s="52"/>
      <c r="AB93" s="52"/>
      <c r="AC93" s="52"/>
      <c r="AD93" s="52"/>
      <c r="AE93" s="52"/>
      <c r="AF93" s="52"/>
      <c r="AG93" s="52"/>
      <c r="AH93" s="52"/>
      <c r="AI93" s="52"/>
    </row>
    <row r="94">
      <c r="A94" s="32" t="s">
        <v>186</v>
      </c>
      <c r="B94" s="7">
        <v>8.0</v>
      </c>
      <c r="C94" s="7">
        <f t="shared" si="3"/>
        <v>93</v>
      </c>
      <c r="D94" s="7">
        <v>1.0</v>
      </c>
      <c r="E94" s="7" t="s">
        <v>107</v>
      </c>
      <c r="F94" s="7" t="b">
        <v>0</v>
      </c>
      <c r="G94" s="7"/>
      <c r="H94" s="7" t="s">
        <v>15</v>
      </c>
      <c r="I94" s="7" t="s">
        <v>185</v>
      </c>
      <c r="J94" s="7">
        <v>1698.0</v>
      </c>
      <c r="K94" s="15"/>
      <c r="L94" s="16"/>
      <c r="M94" s="7" t="s">
        <v>187</v>
      </c>
    </row>
    <row r="95">
      <c r="A95" s="32" t="s">
        <v>188</v>
      </c>
      <c r="B95" s="7">
        <v>8.0</v>
      </c>
      <c r="C95" s="7">
        <f t="shared" si="3"/>
        <v>94</v>
      </c>
      <c r="D95" s="7">
        <v>2.0</v>
      </c>
      <c r="E95" s="7" t="s">
        <v>107</v>
      </c>
      <c r="F95" s="7" t="b">
        <v>0</v>
      </c>
      <c r="G95" s="7"/>
      <c r="H95" s="7" t="s">
        <v>15</v>
      </c>
      <c r="I95" s="7" t="s">
        <v>185</v>
      </c>
      <c r="J95" s="7"/>
      <c r="K95" s="15"/>
      <c r="L95" s="16"/>
      <c r="M95" s="7"/>
    </row>
    <row r="96">
      <c r="A96" s="32" t="s">
        <v>189</v>
      </c>
      <c r="B96" s="7">
        <v>8.0</v>
      </c>
      <c r="C96" s="7">
        <f t="shared" si="3"/>
        <v>95</v>
      </c>
      <c r="D96" s="7">
        <v>2.0</v>
      </c>
      <c r="E96" s="7"/>
      <c r="F96" s="7" t="b">
        <v>0</v>
      </c>
      <c r="G96" s="7"/>
      <c r="H96" s="7" t="s">
        <v>15</v>
      </c>
      <c r="I96" s="7" t="s">
        <v>185</v>
      </c>
      <c r="J96" s="7"/>
      <c r="K96" s="15"/>
      <c r="L96" s="16"/>
      <c r="M96" s="7"/>
    </row>
    <row r="97">
      <c r="A97" s="35" t="s">
        <v>190</v>
      </c>
      <c r="B97" s="7">
        <v>8.0</v>
      </c>
      <c r="C97" s="7">
        <f t="shared" si="3"/>
        <v>96</v>
      </c>
      <c r="D97" s="19">
        <v>1.0</v>
      </c>
      <c r="E97" s="7" t="s">
        <v>149</v>
      </c>
      <c r="F97" s="19" t="b">
        <v>0</v>
      </c>
      <c r="G97" s="19"/>
      <c r="H97" s="7" t="s">
        <v>15</v>
      </c>
      <c r="I97" s="19" t="s">
        <v>185</v>
      </c>
      <c r="J97" s="19"/>
      <c r="K97" s="20"/>
      <c r="L97" s="21"/>
      <c r="M97" s="19"/>
      <c r="N97" s="22"/>
      <c r="O97" s="22"/>
      <c r="P97" s="22"/>
      <c r="Q97" s="22"/>
      <c r="R97" s="22"/>
      <c r="S97" s="22"/>
      <c r="T97" s="22"/>
      <c r="U97" s="22"/>
      <c r="V97" s="22"/>
      <c r="W97" s="22"/>
      <c r="X97" s="22"/>
      <c r="Y97" s="22"/>
      <c r="Z97" s="22"/>
      <c r="AA97" s="22"/>
      <c r="AB97" s="22"/>
      <c r="AC97" s="22"/>
      <c r="AD97" s="22"/>
      <c r="AE97" s="22"/>
      <c r="AF97" s="22"/>
      <c r="AG97" s="22"/>
      <c r="AH97" s="22"/>
      <c r="AI97" s="22"/>
    </row>
    <row r="98">
      <c r="A98" s="32" t="s">
        <v>191</v>
      </c>
      <c r="B98" s="7">
        <v>9.0</v>
      </c>
      <c r="C98" s="53">
        <f t="shared" si="3"/>
        <v>97</v>
      </c>
      <c r="D98" s="7">
        <v>3.0</v>
      </c>
      <c r="E98" s="7" t="s">
        <v>107</v>
      </c>
      <c r="F98" s="7" t="b">
        <v>0</v>
      </c>
      <c r="G98" s="7"/>
      <c r="H98" s="7" t="s">
        <v>98</v>
      </c>
      <c r="I98" s="7" t="s">
        <v>185</v>
      </c>
      <c r="J98" s="31"/>
      <c r="K98" s="15"/>
      <c r="L98" s="16"/>
    </row>
    <row r="99">
      <c r="A99" s="32" t="s">
        <v>192</v>
      </c>
      <c r="B99" s="7">
        <v>9.0</v>
      </c>
      <c r="C99" s="53">
        <f t="shared" si="3"/>
        <v>98</v>
      </c>
      <c r="D99" s="7">
        <v>2.0</v>
      </c>
      <c r="E99" s="7" t="s">
        <v>107</v>
      </c>
      <c r="F99" s="7" t="b">
        <v>0</v>
      </c>
      <c r="G99" s="7"/>
      <c r="H99" s="7" t="s">
        <v>98</v>
      </c>
      <c r="I99" s="7" t="s">
        <v>185</v>
      </c>
      <c r="J99" s="31"/>
      <c r="K99" s="15"/>
      <c r="L99" s="16"/>
    </row>
    <row r="100">
      <c r="A100" s="32" t="s">
        <v>193</v>
      </c>
      <c r="B100" s="7">
        <v>9.0</v>
      </c>
      <c r="C100" s="53">
        <f t="shared" si="3"/>
        <v>99</v>
      </c>
      <c r="D100" s="7">
        <v>3.0</v>
      </c>
      <c r="E100" s="7" t="s">
        <v>107</v>
      </c>
      <c r="F100" s="7" t="b">
        <v>0</v>
      </c>
      <c r="G100" s="7"/>
      <c r="H100" s="7" t="s">
        <v>98</v>
      </c>
      <c r="I100" s="7" t="s">
        <v>185</v>
      </c>
      <c r="J100" s="31"/>
      <c r="K100" s="15"/>
      <c r="L100" s="16"/>
    </row>
    <row r="101">
      <c r="A101" s="48" t="s">
        <v>194</v>
      </c>
      <c r="B101" s="49">
        <v>11.0</v>
      </c>
      <c r="C101" s="53">
        <f t="shared" si="3"/>
        <v>100</v>
      </c>
      <c r="D101" s="49">
        <v>1.0</v>
      </c>
      <c r="E101" s="49" t="s">
        <v>149</v>
      </c>
      <c r="F101" s="49" t="b">
        <v>0</v>
      </c>
      <c r="G101" s="49"/>
      <c r="H101" s="7" t="s">
        <v>15</v>
      </c>
      <c r="I101" s="49" t="s">
        <v>195</v>
      </c>
      <c r="J101" s="54"/>
      <c r="K101" s="50"/>
      <c r="L101" s="51"/>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row>
    <row r="102">
      <c r="A102" s="32" t="s">
        <v>196</v>
      </c>
      <c r="B102" s="7">
        <v>11.0</v>
      </c>
      <c r="C102" s="7">
        <f t="shared" si="3"/>
        <v>101</v>
      </c>
      <c r="D102" s="7">
        <v>1.0</v>
      </c>
      <c r="E102" s="7" t="s">
        <v>107</v>
      </c>
      <c r="F102" s="7" t="b">
        <v>0</v>
      </c>
      <c r="G102" s="7"/>
      <c r="H102" s="7" t="s">
        <v>15</v>
      </c>
      <c r="I102" s="7" t="s">
        <v>195</v>
      </c>
      <c r="J102" s="31"/>
      <c r="K102" s="15"/>
      <c r="L102" s="16"/>
      <c r="M102" s="7" t="s">
        <v>197</v>
      </c>
    </row>
    <row r="103">
      <c r="A103" s="32" t="s">
        <v>198</v>
      </c>
      <c r="B103" s="7">
        <v>11.0</v>
      </c>
      <c r="C103" s="7">
        <f t="shared" si="3"/>
        <v>102</v>
      </c>
      <c r="D103" s="7">
        <v>1.0</v>
      </c>
      <c r="E103" s="7" t="s">
        <v>107</v>
      </c>
      <c r="F103" s="7" t="b">
        <v>0</v>
      </c>
      <c r="G103" s="7"/>
      <c r="H103" s="7" t="s">
        <v>15</v>
      </c>
      <c r="I103" s="7" t="s">
        <v>195</v>
      </c>
      <c r="J103" s="31"/>
      <c r="K103" s="15"/>
      <c r="L103" s="16"/>
      <c r="M103" s="7" t="s">
        <v>199</v>
      </c>
    </row>
    <row r="104">
      <c r="A104" s="32" t="s">
        <v>200</v>
      </c>
      <c r="B104" s="7">
        <v>11.0</v>
      </c>
      <c r="C104" s="7">
        <f t="shared" si="3"/>
        <v>103</v>
      </c>
      <c r="D104" s="7">
        <v>2.0</v>
      </c>
      <c r="E104" s="7" t="s">
        <v>149</v>
      </c>
      <c r="F104" s="7" t="b">
        <v>0</v>
      </c>
      <c r="G104" s="7"/>
      <c r="H104" s="7" t="s">
        <v>15</v>
      </c>
      <c r="I104" s="7" t="s">
        <v>195</v>
      </c>
      <c r="J104" s="31"/>
      <c r="K104" s="15"/>
      <c r="L104" s="16"/>
      <c r="M104" s="7" t="s">
        <v>201</v>
      </c>
    </row>
    <row r="105">
      <c r="A105" s="32" t="s">
        <v>202</v>
      </c>
      <c r="B105" s="7">
        <v>11.0</v>
      </c>
      <c r="C105" s="7">
        <f t="shared" si="3"/>
        <v>104</v>
      </c>
      <c r="D105" s="7">
        <v>2.0</v>
      </c>
      <c r="E105" s="7" t="s">
        <v>107</v>
      </c>
      <c r="F105" s="7" t="b">
        <v>0</v>
      </c>
      <c r="G105" s="7"/>
      <c r="H105" s="7" t="s">
        <v>15</v>
      </c>
      <c r="I105" s="7" t="s">
        <v>195</v>
      </c>
      <c r="J105" s="31"/>
      <c r="K105" s="15"/>
      <c r="L105" s="16"/>
      <c r="M105" s="7" t="s">
        <v>203</v>
      </c>
    </row>
    <row r="106">
      <c r="A106" s="32" t="s">
        <v>204</v>
      </c>
      <c r="B106" s="7">
        <v>11.0</v>
      </c>
      <c r="C106" s="7">
        <f t="shared" si="3"/>
        <v>105</v>
      </c>
      <c r="D106" s="7">
        <v>2.0</v>
      </c>
      <c r="E106" s="7" t="s">
        <v>107</v>
      </c>
      <c r="F106" s="7" t="b">
        <v>0</v>
      </c>
      <c r="G106" s="7"/>
      <c r="H106" s="7" t="s">
        <v>15</v>
      </c>
      <c r="I106" s="7" t="s">
        <v>195</v>
      </c>
      <c r="J106" s="31"/>
      <c r="K106" s="15"/>
      <c r="L106" s="16"/>
      <c r="M106" s="7" t="s">
        <v>205</v>
      </c>
    </row>
    <row r="107">
      <c r="A107" s="41" t="s">
        <v>206</v>
      </c>
      <c r="B107" s="7">
        <v>11.0</v>
      </c>
      <c r="C107" s="7">
        <f t="shared" si="3"/>
        <v>106</v>
      </c>
      <c r="D107" s="16"/>
      <c r="E107" s="7" t="s">
        <v>149</v>
      </c>
      <c r="F107" s="7" t="b">
        <v>0</v>
      </c>
      <c r="G107" s="7"/>
      <c r="H107" s="7" t="s">
        <v>15</v>
      </c>
      <c r="I107" s="7" t="s">
        <v>195</v>
      </c>
      <c r="J107" s="31"/>
      <c r="K107" s="15"/>
      <c r="L107" s="16"/>
      <c r="M107" s="7" t="s">
        <v>207</v>
      </c>
    </row>
    <row r="108">
      <c r="A108" s="41" t="s">
        <v>208</v>
      </c>
      <c r="B108" s="7">
        <v>11.0</v>
      </c>
      <c r="C108" s="7">
        <f t="shared" si="3"/>
        <v>107</v>
      </c>
      <c r="D108" s="16"/>
      <c r="E108" s="7" t="s">
        <v>107</v>
      </c>
      <c r="F108" s="7" t="b">
        <v>0</v>
      </c>
      <c r="G108" s="7"/>
      <c r="H108" s="7" t="s">
        <v>15</v>
      </c>
      <c r="I108" s="7" t="s">
        <v>195</v>
      </c>
      <c r="J108" s="31"/>
      <c r="K108" s="15"/>
      <c r="L108" s="16"/>
      <c r="M108" s="7" t="s">
        <v>209</v>
      </c>
    </row>
    <row r="109">
      <c r="A109" s="40" t="s">
        <v>210</v>
      </c>
      <c r="B109" s="7">
        <v>11.0</v>
      </c>
      <c r="C109" s="7">
        <f t="shared" si="3"/>
        <v>108</v>
      </c>
      <c r="D109" s="16"/>
      <c r="E109" s="7" t="s">
        <v>149</v>
      </c>
      <c r="F109" s="7" t="b">
        <v>0</v>
      </c>
      <c r="G109" s="7"/>
      <c r="H109" s="7" t="s">
        <v>15</v>
      </c>
      <c r="I109" s="7" t="s">
        <v>195</v>
      </c>
      <c r="J109" s="31"/>
      <c r="K109" s="15"/>
      <c r="L109" s="16"/>
      <c r="M109" s="7" t="s">
        <v>211</v>
      </c>
    </row>
    <row r="110">
      <c r="A110" s="40" t="s">
        <v>212</v>
      </c>
      <c r="B110" s="7">
        <v>11.0</v>
      </c>
      <c r="C110" s="7">
        <f t="shared" si="3"/>
        <v>109</v>
      </c>
      <c r="D110" s="16"/>
      <c r="E110" s="7" t="s">
        <v>149</v>
      </c>
      <c r="F110" s="7" t="b">
        <v>0</v>
      </c>
      <c r="G110" s="7"/>
      <c r="H110" s="7" t="s">
        <v>15</v>
      </c>
      <c r="I110" s="7" t="s">
        <v>195</v>
      </c>
      <c r="J110" s="31"/>
      <c r="K110" s="15"/>
      <c r="L110" s="16"/>
      <c r="M110" s="7" t="s">
        <v>213</v>
      </c>
    </row>
    <row r="111">
      <c r="A111" s="48" t="s">
        <v>214</v>
      </c>
      <c r="B111" s="49">
        <v>14.0</v>
      </c>
      <c r="C111" s="7">
        <f t="shared" si="3"/>
        <v>110</v>
      </c>
      <c r="D111" s="49">
        <v>3.0</v>
      </c>
      <c r="E111" s="49" t="s">
        <v>107</v>
      </c>
      <c r="F111" s="49" t="b">
        <v>0</v>
      </c>
      <c r="G111" s="49"/>
      <c r="H111" s="49" t="s">
        <v>15</v>
      </c>
      <c r="I111" s="49" t="s">
        <v>215</v>
      </c>
      <c r="J111" s="54"/>
      <c r="K111" s="50"/>
      <c r="L111" s="51"/>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row>
    <row r="112">
      <c r="A112" s="32" t="s">
        <v>216</v>
      </c>
      <c r="B112" s="7">
        <v>14.0</v>
      </c>
      <c r="C112" s="7">
        <f t="shared" si="3"/>
        <v>111</v>
      </c>
      <c r="D112" s="7">
        <v>1.0</v>
      </c>
      <c r="E112" s="7" t="s">
        <v>107</v>
      </c>
      <c r="F112" s="7" t="b">
        <v>0</v>
      </c>
      <c r="G112" s="7"/>
      <c r="H112" s="7"/>
      <c r="I112" s="7"/>
      <c r="J112" s="31"/>
      <c r="K112" s="15"/>
      <c r="L112" s="16"/>
    </row>
    <row r="113">
      <c r="A113" s="42" t="s">
        <v>217</v>
      </c>
      <c r="B113" s="43">
        <v>15.0</v>
      </c>
      <c r="C113" s="7">
        <f t="shared" si="3"/>
        <v>112</v>
      </c>
      <c r="D113" s="43">
        <v>0.0</v>
      </c>
      <c r="E113" s="43" t="s">
        <v>107</v>
      </c>
      <c r="F113" s="43" t="b">
        <v>0</v>
      </c>
      <c r="G113" s="43"/>
      <c r="H113" s="43" t="s">
        <v>98</v>
      </c>
      <c r="I113" s="43" t="s">
        <v>215</v>
      </c>
      <c r="J113" s="44"/>
      <c r="K113" s="45"/>
      <c r="L113" s="46"/>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row>
    <row r="114">
      <c r="A114" s="55" t="s">
        <v>218</v>
      </c>
      <c r="B114" s="56">
        <v>17.0</v>
      </c>
      <c r="C114" s="56">
        <f t="shared" si="3"/>
        <v>113</v>
      </c>
      <c r="D114" s="56">
        <v>0.0</v>
      </c>
      <c r="E114" s="56" t="s">
        <v>107</v>
      </c>
      <c r="F114" s="56" t="b">
        <v>0</v>
      </c>
      <c r="G114" s="56"/>
      <c r="H114" s="56" t="s">
        <v>15</v>
      </c>
      <c r="I114" s="56" t="s">
        <v>219</v>
      </c>
      <c r="J114" s="57"/>
      <c r="K114" s="58"/>
      <c r="L114" s="59"/>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row>
    <row r="115">
      <c r="A115" s="32" t="s">
        <v>220</v>
      </c>
      <c r="B115" s="7">
        <v>18.0</v>
      </c>
      <c r="C115" s="7">
        <f> C113+1</f>
        <v>113</v>
      </c>
      <c r="D115" s="7">
        <v>3.0</v>
      </c>
      <c r="E115" s="7" t="s">
        <v>107</v>
      </c>
      <c r="F115" s="7" t="b">
        <v>0</v>
      </c>
      <c r="G115" s="7"/>
      <c r="H115" s="7" t="s">
        <v>98</v>
      </c>
      <c r="I115" s="7" t="s">
        <v>219</v>
      </c>
      <c r="J115" s="31"/>
      <c r="K115" s="15"/>
      <c r="L115" s="16"/>
    </row>
    <row r="116">
      <c r="A116" s="32" t="s">
        <v>221</v>
      </c>
      <c r="B116" s="7">
        <v>18.0</v>
      </c>
      <c r="C116" s="7">
        <f t="shared" ref="C116:C160" si="4"> C115+1</f>
        <v>114</v>
      </c>
      <c r="D116" s="7">
        <v>3.0</v>
      </c>
      <c r="E116" s="7" t="s">
        <v>107</v>
      </c>
      <c r="F116" s="7" t="b">
        <v>0</v>
      </c>
      <c r="G116" s="7"/>
      <c r="H116" s="7" t="s">
        <v>98</v>
      </c>
      <c r="I116" s="7" t="s">
        <v>219</v>
      </c>
      <c r="J116" s="31"/>
      <c r="K116" s="15"/>
      <c r="L116" s="16"/>
    </row>
    <row r="117">
      <c r="A117" s="32" t="s">
        <v>222</v>
      </c>
      <c r="B117" s="7">
        <v>18.0</v>
      </c>
      <c r="C117" s="7">
        <f t="shared" si="4"/>
        <v>115</v>
      </c>
      <c r="D117" s="7">
        <v>1.0</v>
      </c>
      <c r="E117" s="7" t="s">
        <v>107</v>
      </c>
      <c r="F117" s="7" t="b">
        <v>0</v>
      </c>
      <c r="G117" s="7"/>
      <c r="H117" s="7" t="s">
        <v>98</v>
      </c>
      <c r="I117" s="7" t="s">
        <v>219</v>
      </c>
      <c r="J117" s="31"/>
      <c r="K117" s="15"/>
      <c r="L117" s="16"/>
    </row>
    <row r="118">
      <c r="A118" s="32" t="s">
        <v>223</v>
      </c>
      <c r="B118" s="7">
        <v>18.0</v>
      </c>
      <c r="C118" s="7">
        <f t="shared" si="4"/>
        <v>116</v>
      </c>
      <c r="D118" s="7">
        <v>3.0</v>
      </c>
      <c r="E118" s="7" t="s">
        <v>107</v>
      </c>
      <c r="F118" s="7" t="b">
        <v>0</v>
      </c>
      <c r="G118" s="7"/>
      <c r="H118" s="7" t="s">
        <v>98</v>
      </c>
      <c r="I118" s="7" t="s">
        <v>219</v>
      </c>
      <c r="J118" s="31"/>
      <c r="K118" s="15"/>
      <c r="L118" s="16"/>
    </row>
    <row r="119">
      <c r="A119" s="32" t="s">
        <v>224</v>
      </c>
      <c r="B119" s="7">
        <v>18.0</v>
      </c>
      <c r="C119" s="7">
        <f t="shared" si="4"/>
        <v>117</v>
      </c>
      <c r="D119" s="7">
        <v>3.0</v>
      </c>
      <c r="E119" s="7" t="s">
        <v>107</v>
      </c>
      <c r="F119" s="7" t="b">
        <v>0</v>
      </c>
      <c r="G119" s="7"/>
      <c r="H119" s="7" t="s">
        <v>98</v>
      </c>
      <c r="I119" s="7" t="s">
        <v>219</v>
      </c>
      <c r="J119" s="31"/>
      <c r="K119" s="15"/>
      <c r="L119" s="16"/>
    </row>
    <row r="120">
      <c r="A120" s="32" t="s">
        <v>225</v>
      </c>
      <c r="B120" s="7">
        <v>18.0</v>
      </c>
      <c r="C120" s="7">
        <f t="shared" si="4"/>
        <v>118</v>
      </c>
      <c r="D120" s="7">
        <v>2.0</v>
      </c>
      <c r="E120" s="7" t="s">
        <v>107</v>
      </c>
      <c r="F120" s="7" t="b">
        <v>0</v>
      </c>
      <c r="G120" s="7"/>
      <c r="H120" s="7" t="s">
        <v>98</v>
      </c>
      <c r="I120" s="7" t="s">
        <v>219</v>
      </c>
      <c r="J120" s="31"/>
      <c r="K120" s="15"/>
      <c r="L120" s="16"/>
    </row>
    <row r="121">
      <c r="A121" s="61" t="s">
        <v>226</v>
      </c>
      <c r="B121" s="43">
        <v>20.0</v>
      </c>
      <c r="C121" s="7">
        <f t="shared" si="4"/>
        <v>119</v>
      </c>
      <c r="D121" s="43"/>
      <c r="E121" s="43" t="s">
        <v>149</v>
      </c>
      <c r="F121" s="43" t="b">
        <v>0</v>
      </c>
      <c r="G121" s="43"/>
      <c r="H121" s="43" t="s">
        <v>15</v>
      </c>
      <c r="I121" s="43" t="s">
        <v>227</v>
      </c>
      <c r="J121" s="44"/>
      <c r="K121" s="45"/>
      <c r="L121" s="46"/>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row>
    <row r="122">
      <c r="A122" s="48" t="s">
        <v>228</v>
      </c>
      <c r="B122" s="49">
        <v>21.0</v>
      </c>
      <c r="C122" s="7">
        <f t="shared" si="4"/>
        <v>120</v>
      </c>
      <c r="D122" s="49">
        <v>1.0</v>
      </c>
      <c r="E122" s="49" t="s">
        <v>107</v>
      </c>
      <c r="F122" s="49" t="b">
        <v>0</v>
      </c>
      <c r="G122" s="49"/>
      <c r="H122" s="49" t="s">
        <v>98</v>
      </c>
      <c r="I122" s="49" t="s">
        <v>227</v>
      </c>
      <c r="J122" s="49"/>
      <c r="K122" s="50"/>
      <c r="L122" s="51"/>
      <c r="M122" s="49"/>
      <c r="N122" s="52"/>
      <c r="O122" s="52"/>
      <c r="P122" s="52"/>
      <c r="Q122" s="52"/>
      <c r="R122" s="52"/>
      <c r="S122" s="52"/>
      <c r="T122" s="52"/>
      <c r="U122" s="52"/>
      <c r="V122" s="52"/>
      <c r="W122" s="52"/>
      <c r="X122" s="52"/>
      <c r="Y122" s="52"/>
      <c r="Z122" s="52"/>
      <c r="AA122" s="52"/>
      <c r="AB122" s="52"/>
      <c r="AC122" s="52"/>
      <c r="AD122" s="52"/>
      <c r="AE122" s="52"/>
      <c r="AF122" s="52"/>
      <c r="AG122" s="52"/>
      <c r="AH122" s="52"/>
      <c r="AI122" s="52"/>
    </row>
    <row r="123">
      <c r="A123" s="32" t="s">
        <v>229</v>
      </c>
      <c r="B123" s="7">
        <v>21.0</v>
      </c>
      <c r="C123" s="19">
        <f t="shared" si="4"/>
        <v>121</v>
      </c>
      <c r="D123" s="7">
        <v>1.0</v>
      </c>
      <c r="E123" s="7" t="s">
        <v>107</v>
      </c>
      <c r="F123" s="7" t="b">
        <v>0</v>
      </c>
      <c r="G123" s="7"/>
      <c r="H123" s="7" t="s">
        <v>98</v>
      </c>
      <c r="I123" s="7" t="s">
        <v>227</v>
      </c>
      <c r="J123" s="7">
        <v>1711.0</v>
      </c>
      <c r="K123" s="15"/>
      <c r="L123" s="16"/>
      <c r="M123" s="7" t="s">
        <v>230</v>
      </c>
    </row>
    <row r="124">
      <c r="A124" s="32" t="s">
        <v>231</v>
      </c>
      <c r="B124" s="7">
        <v>21.0</v>
      </c>
      <c r="C124" s="7">
        <f t="shared" si="4"/>
        <v>122</v>
      </c>
      <c r="D124" s="7">
        <v>3.0</v>
      </c>
      <c r="E124" s="7" t="s">
        <v>107</v>
      </c>
      <c r="F124" s="7" t="b">
        <v>0</v>
      </c>
      <c r="G124" s="7"/>
      <c r="H124" s="7" t="s">
        <v>98</v>
      </c>
      <c r="I124" s="7" t="s">
        <v>227</v>
      </c>
      <c r="J124" s="7"/>
      <c r="K124" s="15"/>
      <c r="L124" s="16"/>
      <c r="M124" s="7" t="s">
        <v>232</v>
      </c>
    </row>
    <row r="125">
      <c r="A125" s="32" t="s">
        <v>233</v>
      </c>
      <c r="B125" s="7">
        <v>21.0</v>
      </c>
      <c r="C125" s="7">
        <f t="shared" si="4"/>
        <v>123</v>
      </c>
      <c r="D125" s="7">
        <v>0.0</v>
      </c>
      <c r="E125" s="7" t="s">
        <v>107</v>
      </c>
      <c r="F125" s="7" t="b">
        <v>0</v>
      </c>
      <c r="G125" s="7"/>
      <c r="H125" s="7" t="s">
        <v>98</v>
      </c>
      <c r="I125" s="7" t="s">
        <v>227</v>
      </c>
      <c r="J125" s="7"/>
      <c r="K125" s="15"/>
      <c r="L125" s="16"/>
      <c r="M125" s="7"/>
    </row>
    <row r="126">
      <c r="A126" s="32" t="s">
        <v>234</v>
      </c>
      <c r="B126" s="7">
        <v>21.0</v>
      </c>
      <c r="C126" s="7">
        <f t="shared" si="4"/>
        <v>124</v>
      </c>
      <c r="D126" s="7">
        <v>1.0</v>
      </c>
      <c r="E126" s="7" t="s">
        <v>107</v>
      </c>
      <c r="F126" s="7" t="b">
        <v>0</v>
      </c>
      <c r="G126" s="7"/>
      <c r="H126" s="7"/>
      <c r="I126" s="7"/>
      <c r="J126" s="7"/>
      <c r="K126" s="15"/>
      <c r="L126" s="16"/>
      <c r="M126" s="7"/>
    </row>
    <row r="127">
      <c r="A127" s="42" t="s">
        <v>235</v>
      </c>
      <c r="B127" s="43">
        <v>22.0</v>
      </c>
      <c r="C127" s="7">
        <f t="shared" si="4"/>
        <v>125</v>
      </c>
      <c r="D127" s="43">
        <v>0.0</v>
      </c>
      <c r="E127" s="43" t="s">
        <v>107</v>
      </c>
      <c r="F127" s="43" t="b">
        <v>0</v>
      </c>
      <c r="G127" s="43"/>
      <c r="H127" s="43" t="s">
        <v>135</v>
      </c>
      <c r="I127" s="43" t="s">
        <v>227</v>
      </c>
      <c r="J127" s="43"/>
      <c r="K127" s="45"/>
      <c r="L127" s="46"/>
      <c r="M127" s="43"/>
      <c r="N127" s="47"/>
      <c r="O127" s="47"/>
      <c r="P127" s="47"/>
      <c r="Q127" s="47"/>
      <c r="R127" s="47"/>
      <c r="S127" s="47"/>
      <c r="T127" s="47"/>
      <c r="U127" s="47"/>
      <c r="V127" s="47"/>
      <c r="W127" s="47"/>
      <c r="X127" s="47"/>
      <c r="Y127" s="47"/>
      <c r="Z127" s="47"/>
      <c r="AA127" s="47"/>
      <c r="AB127" s="47"/>
      <c r="AC127" s="47"/>
      <c r="AD127" s="47"/>
      <c r="AE127" s="47"/>
      <c r="AF127" s="47"/>
      <c r="AG127" s="47"/>
      <c r="AH127" s="47"/>
      <c r="AI127" s="47"/>
    </row>
    <row r="128">
      <c r="A128" s="48" t="s">
        <v>236</v>
      </c>
      <c r="B128" s="49">
        <v>23.0</v>
      </c>
      <c r="C128" s="49">
        <f t="shared" si="4"/>
        <v>126</v>
      </c>
      <c r="D128" s="49">
        <v>3.0</v>
      </c>
      <c r="E128" s="7" t="s">
        <v>107</v>
      </c>
      <c r="F128" s="49" t="b">
        <v>0</v>
      </c>
      <c r="G128" s="49"/>
      <c r="H128" s="49" t="s">
        <v>135</v>
      </c>
      <c r="I128" s="49" t="s">
        <v>237</v>
      </c>
      <c r="J128" s="49"/>
      <c r="K128" s="50"/>
      <c r="L128" s="51"/>
      <c r="M128" s="49"/>
      <c r="N128" s="52"/>
      <c r="O128" s="52"/>
      <c r="P128" s="52"/>
      <c r="Q128" s="52"/>
      <c r="R128" s="52"/>
      <c r="S128" s="52"/>
      <c r="T128" s="52"/>
      <c r="U128" s="52"/>
      <c r="V128" s="52"/>
      <c r="W128" s="52"/>
      <c r="X128" s="52"/>
      <c r="Y128" s="52"/>
      <c r="Z128" s="52"/>
      <c r="AA128" s="52"/>
      <c r="AB128" s="52"/>
      <c r="AC128" s="52"/>
      <c r="AD128" s="52"/>
      <c r="AE128" s="52"/>
      <c r="AF128" s="52"/>
      <c r="AG128" s="52"/>
      <c r="AH128" s="52"/>
      <c r="AI128" s="52"/>
    </row>
    <row r="129">
      <c r="A129" s="32" t="s">
        <v>238</v>
      </c>
      <c r="B129" s="7">
        <v>23.0</v>
      </c>
      <c r="C129" s="7">
        <f t="shared" si="4"/>
        <v>127</v>
      </c>
      <c r="D129" s="7">
        <v>3.0</v>
      </c>
      <c r="E129" s="7" t="s">
        <v>107</v>
      </c>
      <c r="F129" s="7" t="b">
        <v>0</v>
      </c>
      <c r="G129" s="7"/>
      <c r="H129" s="7"/>
      <c r="I129" s="7"/>
      <c r="J129" s="7"/>
      <c r="K129" s="15"/>
      <c r="L129" s="16"/>
      <c r="M129" s="7"/>
    </row>
    <row r="130">
      <c r="A130" s="32" t="s">
        <v>239</v>
      </c>
      <c r="B130" s="7">
        <v>23.0</v>
      </c>
      <c r="C130" s="7">
        <f t="shared" si="4"/>
        <v>128</v>
      </c>
      <c r="D130" s="7">
        <v>2.0</v>
      </c>
      <c r="E130" s="7" t="s">
        <v>107</v>
      </c>
      <c r="F130" s="7" t="b">
        <v>0</v>
      </c>
      <c r="G130" s="7"/>
      <c r="H130" s="7" t="s">
        <v>135</v>
      </c>
      <c r="I130" s="7" t="s">
        <v>237</v>
      </c>
      <c r="J130" s="7"/>
      <c r="K130" s="15"/>
      <c r="L130" s="16"/>
      <c r="M130" s="7"/>
    </row>
    <row r="131">
      <c r="A131" s="40" t="s">
        <v>240</v>
      </c>
      <c r="B131" s="7">
        <v>23.0</v>
      </c>
      <c r="C131" s="7">
        <f t="shared" si="4"/>
        <v>129</v>
      </c>
      <c r="E131" s="7" t="s">
        <v>107</v>
      </c>
      <c r="F131" s="7" t="b">
        <v>0</v>
      </c>
      <c r="G131" s="7"/>
      <c r="H131" s="7" t="s">
        <v>135</v>
      </c>
      <c r="I131" s="7" t="s">
        <v>237</v>
      </c>
      <c r="J131" s="7"/>
      <c r="K131" s="15"/>
      <c r="L131" s="16"/>
      <c r="M131" s="7"/>
    </row>
    <row r="132">
      <c r="A132" s="32" t="s">
        <v>241</v>
      </c>
      <c r="B132" s="7">
        <v>23.0</v>
      </c>
      <c r="C132" s="7">
        <f t="shared" si="4"/>
        <v>130</v>
      </c>
      <c r="D132" s="7">
        <v>0.0</v>
      </c>
      <c r="E132" s="7" t="s">
        <v>107</v>
      </c>
      <c r="F132" s="7" t="b">
        <v>0</v>
      </c>
      <c r="G132" s="7"/>
      <c r="H132" s="7" t="s">
        <v>135</v>
      </c>
      <c r="I132" s="7" t="s">
        <v>237</v>
      </c>
      <c r="J132" s="7"/>
      <c r="K132" s="15"/>
      <c r="L132" s="16"/>
      <c r="M132" s="7"/>
    </row>
    <row r="133">
      <c r="A133" s="40"/>
      <c r="B133" s="7">
        <v>23.0</v>
      </c>
      <c r="C133" s="7">
        <f t="shared" si="4"/>
        <v>131</v>
      </c>
      <c r="E133" s="7" t="s">
        <v>149</v>
      </c>
      <c r="F133" s="7" t="b">
        <v>0</v>
      </c>
      <c r="G133" s="7"/>
      <c r="H133" s="7" t="s">
        <v>135</v>
      </c>
      <c r="I133" s="7" t="s">
        <v>237</v>
      </c>
      <c r="J133" s="7"/>
      <c r="K133" s="15"/>
      <c r="L133" s="16"/>
      <c r="M133" s="7"/>
    </row>
    <row r="134">
      <c r="A134" s="40"/>
      <c r="B134" s="7">
        <v>23.0</v>
      </c>
      <c r="C134" s="7">
        <f t="shared" si="4"/>
        <v>132</v>
      </c>
      <c r="E134" s="7" t="s">
        <v>149</v>
      </c>
      <c r="F134" s="7" t="b">
        <v>0</v>
      </c>
      <c r="G134" s="7"/>
      <c r="H134" s="7" t="s">
        <v>135</v>
      </c>
      <c r="I134" s="7" t="s">
        <v>237</v>
      </c>
      <c r="J134" s="7"/>
      <c r="K134" s="15"/>
      <c r="L134" s="16"/>
      <c r="M134" s="7"/>
    </row>
    <row r="135">
      <c r="A135" s="40"/>
      <c r="B135" s="7">
        <v>23.0</v>
      </c>
      <c r="C135" s="7">
        <f t="shared" si="4"/>
        <v>133</v>
      </c>
      <c r="E135" s="7" t="s">
        <v>149</v>
      </c>
      <c r="F135" s="7" t="b">
        <v>0</v>
      </c>
      <c r="G135" s="7"/>
      <c r="H135" s="7" t="s">
        <v>135</v>
      </c>
      <c r="I135" s="7" t="s">
        <v>237</v>
      </c>
      <c r="J135" s="7"/>
      <c r="K135" s="15"/>
      <c r="L135" s="16"/>
      <c r="M135" s="7"/>
    </row>
    <row r="136">
      <c r="A136" s="40"/>
      <c r="B136" s="7">
        <v>23.0</v>
      </c>
      <c r="C136" s="7">
        <f t="shared" si="4"/>
        <v>134</v>
      </c>
      <c r="E136" s="7" t="s">
        <v>149</v>
      </c>
      <c r="F136" s="7" t="b">
        <v>0</v>
      </c>
      <c r="G136" s="7"/>
      <c r="H136" s="7" t="s">
        <v>135</v>
      </c>
      <c r="I136" s="7" t="s">
        <v>237</v>
      </c>
      <c r="J136" s="7"/>
      <c r="K136" s="15"/>
      <c r="L136" s="16"/>
      <c r="M136" s="7"/>
    </row>
    <row r="137">
      <c r="A137" s="40"/>
      <c r="B137" s="7">
        <v>23.0</v>
      </c>
      <c r="C137" s="7">
        <f t="shared" si="4"/>
        <v>135</v>
      </c>
      <c r="E137" s="7" t="s">
        <v>149</v>
      </c>
      <c r="F137" s="7" t="b">
        <v>0</v>
      </c>
      <c r="G137" s="7"/>
      <c r="H137" s="7" t="s">
        <v>135</v>
      </c>
      <c r="I137" s="7" t="s">
        <v>237</v>
      </c>
      <c r="J137" s="7"/>
      <c r="K137" s="15"/>
      <c r="L137" s="16"/>
      <c r="M137" s="7"/>
    </row>
    <row r="138">
      <c r="A138" s="40"/>
      <c r="B138" s="7">
        <v>23.0</v>
      </c>
      <c r="C138" s="7">
        <f t="shared" si="4"/>
        <v>136</v>
      </c>
      <c r="E138" s="7" t="s">
        <v>149</v>
      </c>
      <c r="F138" s="7" t="b">
        <v>0</v>
      </c>
      <c r="G138" s="7"/>
      <c r="H138" s="7" t="s">
        <v>135</v>
      </c>
      <c r="I138" s="7" t="s">
        <v>237</v>
      </c>
      <c r="J138" s="7"/>
      <c r="K138" s="15"/>
      <c r="L138" s="16"/>
      <c r="M138" s="7"/>
    </row>
    <row r="139">
      <c r="A139" s="40"/>
      <c r="B139" s="7">
        <v>23.0</v>
      </c>
      <c r="C139" s="7">
        <f t="shared" si="4"/>
        <v>137</v>
      </c>
      <c r="E139" s="7" t="s">
        <v>149</v>
      </c>
      <c r="F139" s="7" t="b">
        <v>0</v>
      </c>
      <c r="G139" s="7"/>
      <c r="H139" s="7" t="s">
        <v>135</v>
      </c>
      <c r="I139" s="7" t="s">
        <v>237</v>
      </c>
      <c r="J139" s="7"/>
      <c r="K139" s="15"/>
      <c r="L139" s="16"/>
      <c r="M139" s="7"/>
    </row>
    <row r="140">
      <c r="A140" s="40"/>
      <c r="B140" s="7">
        <v>23.0</v>
      </c>
      <c r="C140" s="7">
        <f t="shared" si="4"/>
        <v>138</v>
      </c>
      <c r="E140" s="7" t="s">
        <v>149</v>
      </c>
      <c r="F140" s="7" t="b">
        <v>0</v>
      </c>
      <c r="G140" s="7"/>
      <c r="H140" s="7" t="s">
        <v>135</v>
      </c>
      <c r="I140" s="7" t="s">
        <v>237</v>
      </c>
      <c r="J140" s="7"/>
      <c r="K140" s="15"/>
      <c r="L140" s="16"/>
      <c r="M140" s="7"/>
    </row>
    <row r="141">
      <c r="A141" s="40"/>
      <c r="B141" s="7">
        <v>23.0</v>
      </c>
      <c r="C141" s="7">
        <f t="shared" si="4"/>
        <v>139</v>
      </c>
      <c r="E141" s="7" t="s">
        <v>149</v>
      </c>
      <c r="F141" s="7" t="b">
        <v>0</v>
      </c>
      <c r="G141" s="7"/>
      <c r="H141" s="7" t="s">
        <v>135</v>
      </c>
      <c r="I141" s="7" t="s">
        <v>237</v>
      </c>
      <c r="J141" s="7"/>
      <c r="K141" s="15"/>
      <c r="L141" s="16"/>
      <c r="M141" s="7"/>
    </row>
    <row r="142">
      <c r="A142" s="40"/>
      <c r="B142" s="7">
        <v>23.0</v>
      </c>
      <c r="C142" s="7">
        <f t="shared" si="4"/>
        <v>140</v>
      </c>
      <c r="E142" s="7" t="s">
        <v>149</v>
      </c>
      <c r="F142" s="7" t="b">
        <v>0</v>
      </c>
      <c r="G142" s="7"/>
      <c r="H142" s="7" t="s">
        <v>135</v>
      </c>
      <c r="I142" s="7" t="s">
        <v>237</v>
      </c>
      <c r="J142" s="7"/>
      <c r="K142" s="15"/>
      <c r="L142" s="16"/>
      <c r="M142" s="7"/>
    </row>
    <row r="143">
      <c r="A143" s="40"/>
      <c r="B143" s="7">
        <v>23.0</v>
      </c>
      <c r="C143" s="7">
        <f t="shared" si="4"/>
        <v>141</v>
      </c>
      <c r="E143" s="7" t="s">
        <v>149</v>
      </c>
      <c r="F143" s="7" t="b">
        <v>0</v>
      </c>
      <c r="G143" s="7"/>
      <c r="H143" s="7" t="s">
        <v>135</v>
      </c>
      <c r="I143" s="7" t="s">
        <v>237</v>
      </c>
      <c r="J143" s="7"/>
      <c r="K143" s="15"/>
      <c r="L143" s="16"/>
      <c r="M143" s="7"/>
    </row>
    <row r="144">
      <c r="A144" s="40"/>
      <c r="B144" s="7">
        <v>23.0</v>
      </c>
      <c r="C144" s="7">
        <f t="shared" si="4"/>
        <v>142</v>
      </c>
      <c r="E144" s="7" t="s">
        <v>149</v>
      </c>
      <c r="F144" s="7" t="b">
        <v>0</v>
      </c>
      <c r="G144" s="7"/>
      <c r="H144" s="7" t="s">
        <v>135</v>
      </c>
      <c r="I144" s="7" t="s">
        <v>237</v>
      </c>
      <c r="J144" s="7"/>
      <c r="K144" s="15"/>
      <c r="L144" s="16"/>
      <c r="M144" s="7"/>
    </row>
    <row r="145">
      <c r="A145" s="40"/>
      <c r="B145" s="7">
        <v>23.0</v>
      </c>
      <c r="C145" s="7">
        <f t="shared" si="4"/>
        <v>143</v>
      </c>
      <c r="E145" s="7" t="s">
        <v>149</v>
      </c>
      <c r="F145" s="7" t="b">
        <v>0</v>
      </c>
      <c r="G145" s="7"/>
      <c r="H145" s="7" t="s">
        <v>135</v>
      </c>
      <c r="I145" s="7" t="s">
        <v>237</v>
      </c>
      <c r="J145" s="7"/>
      <c r="K145" s="15"/>
      <c r="L145" s="16"/>
      <c r="M145" s="7"/>
    </row>
    <row r="146">
      <c r="A146" s="40"/>
      <c r="B146" s="7">
        <v>23.0</v>
      </c>
      <c r="C146" s="7">
        <f t="shared" si="4"/>
        <v>144</v>
      </c>
      <c r="E146" s="7" t="s">
        <v>149</v>
      </c>
      <c r="F146" s="7" t="b">
        <v>0</v>
      </c>
      <c r="G146" s="7"/>
      <c r="H146" s="7" t="s">
        <v>135</v>
      </c>
      <c r="I146" s="7" t="s">
        <v>237</v>
      </c>
      <c r="J146" s="7"/>
      <c r="K146" s="15"/>
      <c r="L146" s="16"/>
      <c r="M146" s="7"/>
    </row>
    <row r="147">
      <c r="A147" s="40"/>
      <c r="B147" s="7">
        <v>23.0</v>
      </c>
      <c r="C147" s="7">
        <f t="shared" si="4"/>
        <v>145</v>
      </c>
      <c r="E147" s="7" t="s">
        <v>149</v>
      </c>
      <c r="F147" s="7" t="b">
        <v>0</v>
      </c>
      <c r="G147" s="7"/>
      <c r="H147" s="7" t="s">
        <v>135</v>
      </c>
      <c r="I147" s="7" t="s">
        <v>237</v>
      </c>
      <c r="J147" s="7"/>
      <c r="K147" s="15"/>
      <c r="L147" s="16"/>
      <c r="M147" s="7"/>
    </row>
    <row r="148">
      <c r="A148" s="40"/>
      <c r="B148" s="7">
        <v>23.0</v>
      </c>
      <c r="C148" s="7">
        <f t="shared" si="4"/>
        <v>146</v>
      </c>
      <c r="E148" s="7" t="s">
        <v>149</v>
      </c>
      <c r="F148" s="7" t="b">
        <v>0</v>
      </c>
      <c r="G148" s="7"/>
      <c r="H148" s="7" t="s">
        <v>135</v>
      </c>
      <c r="I148" s="7" t="s">
        <v>237</v>
      </c>
      <c r="J148" s="7"/>
      <c r="K148" s="15"/>
      <c r="L148" s="16"/>
      <c r="M148" s="7"/>
    </row>
    <row r="149">
      <c r="A149" s="40"/>
      <c r="B149" s="7">
        <v>23.0</v>
      </c>
      <c r="C149" s="7">
        <f t="shared" si="4"/>
        <v>147</v>
      </c>
      <c r="E149" s="7" t="s">
        <v>149</v>
      </c>
      <c r="F149" s="7" t="b">
        <v>0</v>
      </c>
      <c r="G149" s="7"/>
      <c r="H149" s="7" t="s">
        <v>135</v>
      </c>
      <c r="I149" s="7" t="s">
        <v>237</v>
      </c>
      <c r="J149" s="7"/>
      <c r="K149" s="15"/>
      <c r="L149" s="16"/>
      <c r="M149" s="7"/>
    </row>
    <row r="150">
      <c r="A150" s="40"/>
      <c r="B150" s="7">
        <v>23.0</v>
      </c>
      <c r="C150" s="7">
        <f t="shared" si="4"/>
        <v>148</v>
      </c>
      <c r="E150" s="7" t="s">
        <v>149</v>
      </c>
      <c r="F150" s="7" t="b">
        <v>0</v>
      </c>
      <c r="G150" s="7"/>
      <c r="H150" s="7" t="s">
        <v>135</v>
      </c>
      <c r="I150" s="7" t="s">
        <v>237</v>
      </c>
      <c r="J150" s="7"/>
      <c r="K150" s="15"/>
      <c r="L150" s="16"/>
      <c r="M150" s="7"/>
    </row>
    <row r="151">
      <c r="A151" s="40"/>
      <c r="B151" s="7">
        <v>23.0</v>
      </c>
      <c r="C151" s="7">
        <f t="shared" si="4"/>
        <v>149</v>
      </c>
      <c r="E151" s="7" t="s">
        <v>149</v>
      </c>
      <c r="F151" s="7" t="b">
        <v>0</v>
      </c>
      <c r="G151" s="7"/>
      <c r="H151" s="7" t="s">
        <v>135</v>
      </c>
      <c r="I151" s="7" t="s">
        <v>237</v>
      </c>
      <c r="J151" s="7"/>
      <c r="K151" s="15"/>
      <c r="L151" s="16"/>
      <c r="M151" s="7"/>
    </row>
    <row r="152">
      <c r="A152" s="40"/>
      <c r="B152" s="7">
        <v>23.0</v>
      </c>
      <c r="C152" s="7">
        <f t="shared" si="4"/>
        <v>150</v>
      </c>
      <c r="E152" s="7" t="s">
        <v>149</v>
      </c>
      <c r="F152" s="7" t="b">
        <v>0</v>
      </c>
      <c r="G152" s="7"/>
      <c r="H152" s="7" t="s">
        <v>135</v>
      </c>
      <c r="I152" s="7" t="s">
        <v>237</v>
      </c>
      <c r="J152" s="7"/>
      <c r="K152" s="15"/>
      <c r="L152" s="16"/>
      <c r="M152" s="7"/>
    </row>
    <row r="153">
      <c r="A153" s="40"/>
      <c r="B153" s="7">
        <v>23.0</v>
      </c>
      <c r="C153" s="7">
        <f t="shared" si="4"/>
        <v>151</v>
      </c>
      <c r="E153" s="7" t="s">
        <v>149</v>
      </c>
      <c r="F153" s="7" t="b">
        <v>0</v>
      </c>
      <c r="G153" s="7"/>
      <c r="H153" s="7" t="s">
        <v>135</v>
      </c>
      <c r="I153" s="7" t="s">
        <v>237</v>
      </c>
      <c r="J153" s="7"/>
      <c r="K153" s="15"/>
      <c r="L153" s="16"/>
      <c r="M153" s="7"/>
    </row>
    <row r="154">
      <c r="A154" s="40"/>
      <c r="B154" s="7">
        <v>23.0</v>
      </c>
      <c r="C154" s="7">
        <f t="shared" si="4"/>
        <v>152</v>
      </c>
      <c r="E154" s="7" t="s">
        <v>149</v>
      </c>
      <c r="F154" s="7" t="b">
        <v>0</v>
      </c>
      <c r="G154" s="7"/>
      <c r="H154" s="7" t="s">
        <v>135</v>
      </c>
      <c r="I154" s="7" t="s">
        <v>237</v>
      </c>
      <c r="J154" s="7"/>
      <c r="K154" s="15"/>
      <c r="L154" s="16"/>
      <c r="M154" s="7"/>
    </row>
    <row r="155">
      <c r="A155" s="40"/>
      <c r="B155" s="7">
        <v>23.0</v>
      </c>
      <c r="C155" s="7">
        <f t="shared" si="4"/>
        <v>153</v>
      </c>
      <c r="E155" s="7" t="s">
        <v>149</v>
      </c>
      <c r="F155" s="7" t="b">
        <v>0</v>
      </c>
      <c r="G155" s="7"/>
      <c r="H155" s="7" t="s">
        <v>135</v>
      </c>
      <c r="I155" s="7" t="s">
        <v>237</v>
      </c>
      <c r="J155" s="7"/>
      <c r="K155" s="15"/>
      <c r="L155" s="16"/>
      <c r="M155" s="7"/>
    </row>
    <row r="156">
      <c r="A156" s="40"/>
      <c r="B156" s="7">
        <v>23.0</v>
      </c>
      <c r="C156" s="7">
        <f t="shared" si="4"/>
        <v>154</v>
      </c>
      <c r="E156" s="7" t="s">
        <v>149</v>
      </c>
      <c r="F156" s="7" t="b">
        <v>0</v>
      </c>
      <c r="G156" s="7"/>
      <c r="H156" s="7" t="s">
        <v>135</v>
      </c>
      <c r="I156" s="7" t="s">
        <v>237</v>
      </c>
      <c r="J156" s="7"/>
      <c r="K156" s="15"/>
      <c r="L156" s="16"/>
      <c r="M156" s="7"/>
    </row>
    <row r="157">
      <c r="A157" s="40"/>
      <c r="B157" s="7">
        <v>23.0</v>
      </c>
      <c r="C157" s="7">
        <f t="shared" si="4"/>
        <v>155</v>
      </c>
      <c r="E157" s="7" t="s">
        <v>149</v>
      </c>
      <c r="F157" s="7" t="b">
        <v>0</v>
      </c>
      <c r="G157" s="7"/>
      <c r="H157" s="7" t="s">
        <v>135</v>
      </c>
      <c r="I157" s="7" t="s">
        <v>237</v>
      </c>
      <c r="J157" s="7"/>
      <c r="K157" s="15"/>
      <c r="L157" s="16"/>
      <c r="M157" s="7"/>
    </row>
    <row r="158">
      <c r="A158" s="40"/>
      <c r="B158" s="7">
        <v>23.0</v>
      </c>
      <c r="C158" s="7">
        <f t="shared" si="4"/>
        <v>156</v>
      </c>
      <c r="E158" s="7" t="s">
        <v>149</v>
      </c>
      <c r="F158" s="7" t="b">
        <v>0</v>
      </c>
      <c r="G158" s="7"/>
      <c r="H158" s="7" t="s">
        <v>135</v>
      </c>
      <c r="I158" s="7" t="s">
        <v>237</v>
      </c>
      <c r="J158" s="7"/>
      <c r="K158" s="15"/>
      <c r="L158" s="16"/>
      <c r="M158" s="7"/>
    </row>
    <row r="159">
      <c r="A159" s="40"/>
      <c r="B159" s="7">
        <v>23.0</v>
      </c>
      <c r="C159" s="7">
        <f t="shared" si="4"/>
        <v>157</v>
      </c>
      <c r="E159" s="7" t="s">
        <v>149</v>
      </c>
      <c r="F159" s="7" t="b">
        <v>0</v>
      </c>
      <c r="G159" s="7"/>
      <c r="H159" s="7" t="s">
        <v>135</v>
      </c>
      <c r="I159" s="7" t="s">
        <v>237</v>
      </c>
      <c r="J159" s="7"/>
      <c r="K159" s="15"/>
      <c r="L159" s="16"/>
      <c r="M159" s="7"/>
    </row>
    <row r="160">
      <c r="A160" s="40"/>
      <c r="B160" s="7">
        <v>23.0</v>
      </c>
      <c r="C160" s="7">
        <f t="shared" si="4"/>
        <v>158</v>
      </c>
      <c r="E160" s="7" t="s">
        <v>149</v>
      </c>
      <c r="F160" s="7" t="b">
        <v>0</v>
      </c>
      <c r="G160" s="7"/>
      <c r="H160" s="7" t="s">
        <v>135</v>
      </c>
      <c r="I160" s="7" t="s">
        <v>237</v>
      </c>
      <c r="J160" s="7"/>
      <c r="K160" s="15"/>
      <c r="L160" s="16"/>
      <c r="M160" s="7"/>
    </row>
    <row r="161">
      <c r="A161" s="62" t="s">
        <v>242</v>
      </c>
      <c r="B161" s="49">
        <v>24.0</v>
      </c>
      <c r="C161" s="49">
        <v>366.0</v>
      </c>
      <c r="D161" s="52"/>
      <c r="E161" s="49"/>
      <c r="F161" s="49" t="b">
        <v>0</v>
      </c>
      <c r="G161" s="49"/>
      <c r="H161" s="7"/>
      <c r="I161" s="49"/>
      <c r="J161" s="49"/>
      <c r="K161" s="50"/>
      <c r="L161" s="51"/>
      <c r="M161" s="49" t="s">
        <v>243</v>
      </c>
      <c r="N161" s="52"/>
      <c r="O161" s="52"/>
      <c r="P161" s="52"/>
      <c r="Q161" s="52"/>
      <c r="R161" s="52"/>
      <c r="S161" s="52"/>
      <c r="T161" s="52"/>
      <c r="U161" s="52"/>
      <c r="V161" s="52"/>
      <c r="W161" s="52"/>
      <c r="X161" s="52"/>
      <c r="Y161" s="52"/>
      <c r="Z161" s="52"/>
      <c r="AA161" s="52"/>
      <c r="AB161" s="52"/>
      <c r="AC161" s="52"/>
      <c r="AD161" s="52"/>
      <c r="AE161" s="52"/>
      <c r="AF161" s="52"/>
      <c r="AG161" s="52"/>
      <c r="AH161" s="52"/>
      <c r="AI161" s="52"/>
    </row>
  </sheetData>
  <conditionalFormatting sqref="D2:E161">
    <cfRule type="cellIs" dxfId="0" priority="1" operator="equal">
      <formula>3</formula>
    </cfRule>
  </conditionalFormatting>
  <conditionalFormatting sqref="D2:E161">
    <cfRule type="cellIs" dxfId="1" priority="2" operator="equal">
      <formula>2</formula>
    </cfRule>
  </conditionalFormatting>
  <conditionalFormatting sqref="D2:E161">
    <cfRule type="cellIs" dxfId="2" priority="3" operator="equal">
      <formula>1</formula>
    </cfRule>
  </conditionalFormatting>
  <conditionalFormatting sqref="D2:E161">
    <cfRule type="cellIs" dxfId="3" priority="4" operator="greaterThan">
      <formula>3</formula>
    </cfRule>
  </conditionalFormatting>
  <conditionalFormatting sqref="D2:E161">
    <cfRule type="cellIs" dxfId="4" priority="5" operator="equal">
      <formula>0</formula>
    </cfRule>
  </conditionalFormatting>
  <dataValidations>
    <dataValidation type="list" allowBlank="1" showErrorMessage="1" sqref="E2:E161">
      <formula1>"🎤	,🎵,🔇,🔁"</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c r="B1" s="7" t="s">
        <v>244</v>
      </c>
      <c r="C1" s="7" t="s">
        <v>245</v>
      </c>
      <c r="D1" s="7" t="s">
        <v>246</v>
      </c>
      <c r="E1" s="7" t="s">
        <v>247</v>
      </c>
      <c r="F1" s="7" t="s">
        <v>248</v>
      </c>
      <c r="G1" s="7" t="s">
        <v>245</v>
      </c>
    </row>
    <row r="2">
      <c r="A2" s="7" t="s">
        <v>154</v>
      </c>
      <c r="B2" s="7" t="b">
        <v>1</v>
      </c>
      <c r="C2" s="7" t="b">
        <v>1</v>
      </c>
      <c r="D2" s="7" t="b">
        <v>1</v>
      </c>
      <c r="E2" s="7" t="b">
        <v>0</v>
      </c>
      <c r="G2" s="7" t="s">
        <v>249</v>
      </c>
    </row>
    <row r="3">
      <c r="A3" s="7" t="s">
        <v>110</v>
      </c>
      <c r="B3" s="7" t="b">
        <v>1</v>
      </c>
      <c r="C3" s="7" t="b">
        <v>1</v>
      </c>
      <c r="D3" s="63" t="b">
        <v>0</v>
      </c>
      <c r="E3" s="63" t="b">
        <v>0</v>
      </c>
      <c r="G3" s="7" t="s">
        <v>250</v>
      </c>
    </row>
    <row r="4">
      <c r="A4" s="7" t="s">
        <v>124</v>
      </c>
      <c r="B4" s="7" t="b">
        <v>1</v>
      </c>
      <c r="C4" s="63" t="b">
        <v>0</v>
      </c>
      <c r="D4" s="63" t="b">
        <v>0</v>
      </c>
      <c r="E4" s="63" t="b">
        <v>0</v>
      </c>
    </row>
    <row r="5">
      <c r="A5" s="7" t="s">
        <v>112</v>
      </c>
      <c r="B5" s="7" t="b">
        <v>1</v>
      </c>
      <c r="C5" s="7" t="b">
        <v>1</v>
      </c>
      <c r="D5" s="63" t="b">
        <v>0</v>
      </c>
      <c r="E5" s="63" t="b">
        <v>0</v>
      </c>
      <c r="G5" s="7" t="s">
        <v>251</v>
      </c>
    </row>
    <row r="6">
      <c r="A6" s="7" t="s">
        <v>192</v>
      </c>
      <c r="B6" s="7" t="b">
        <v>1</v>
      </c>
      <c r="C6" s="7" t="b">
        <v>1</v>
      </c>
      <c r="D6" s="63" t="b">
        <v>0</v>
      </c>
      <c r="E6" s="63" t="b">
        <v>0</v>
      </c>
      <c r="G6" s="7" t="s">
        <v>252</v>
      </c>
    </row>
    <row r="7">
      <c r="A7" s="7" t="s">
        <v>253</v>
      </c>
      <c r="B7" s="7" t="b">
        <v>1</v>
      </c>
      <c r="C7" s="63" t="b">
        <v>0</v>
      </c>
      <c r="D7" s="63" t="b">
        <v>0</v>
      </c>
      <c r="E7" s="63" t="b">
        <v>0</v>
      </c>
    </row>
    <row r="8">
      <c r="A8" s="7" t="s">
        <v>254</v>
      </c>
      <c r="B8" s="7" t="b">
        <v>1</v>
      </c>
      <c r="C8" s="63" t="b">
        <v>0</v>
      </c>
      <c r="D8" s="63" t="b">
        <v>0</v>
      </c>
      <c r="E8" s="63" t="b">
        <v>0</v>
      </c>
    </row>
    <row r="9">
      <c r="A9" s="7" t="s">
        <v>181</v>
      </c>
      <c r="B9" s="7" t="b">
        <v>1</v>
      </c>
      <c r="C9" s="7" t="b">
        <v>1</v>
      </c>
      <c r="D9" s="63" t="b">
        <v>0</v>
      </c>
      <c r="E9" s="63" t="b">
        <v>0</v>
      </c>
      <c r="G9" s="7" t="s">
        <v>255</v>
      </c>
    </row>
    <row r="10">
      <c r="A10" s="7" t="s">
        <v>138</v>
      </c>
      <c r="B10" s="7" t="b">
        <v>1</v>
      </c>
      <c r="C10" s="63" t="b">
        <v>0</v>
      </c>
      <c r="D10" s="63" t="b">
        <v>0</v>
      </c>
      <c r="E10" s="63" t="b">
        <v>0</v>
      </c>
    </row>
    <row r="11">
      <c r="B11" s="63" t="b">
        <v>0</v>
      </c>
      <c r="C11" s="63" t="b">
        <v>0</v>
      </c>
      <c r="D11" s="63" t="b">
        <v>0</v>
      </c>
      <c r="E11" s="63" t="b">
        <v>0</v>
      </c>
    </row>
    <row r="12">
      <c r="B12" s="63" t="b">
        <v>0</v>
      </c>
      <c r="C12" s="63" t="b">
        <v>0</v>
      </c>
      <c r="D12" s="63" t="b">
        <v>0</v>
      </c>
      <c r="E12" s="63" t="b">
        <v>0</v>
      </c>
    </row>
    <row r="13">
      <c r="B13" s="63" t="b">
        <v>0</v>
      </c>
      <c r="C13" s="63" t="b">
        <v>0</v>
      </c>
      <c r="D13" s="63" t="b">
        <v>0</v>
      </c>
      <c r="E13" s="63" t="b">
        <v>0</v>
      </c>
    </row>
    <row r="14">
      <c r="B14" s="63" t="b">
        <v>0</v>
      </c>
      <c r="C14" s="63" t="b">
        <v>0</v>
      </c>
      <c r="D14" s="63" t="b">
        <v>0</v>
      </c>
      <c r="E14" s="63" t="b">
        <v>0</v>
      </c>
    </row>
    <row r="15">
      <c r="B15" s="63" t="b">
        <v>0</v>
      </c>
      <c r="C15" s="63" t="b">
        <v>0</v>
      </c>
      <c r="D15" s="63" t="b">
        <v>0</v>
      </c>
      <c r="E15" s="63" t="b">
        <v>0</v>
      </c>
    </row>
    <row r="16">
      <c r="B16" s="63" t="b">
        <v>0</v>
      </c>
      <c r="C16" s="63" t="b">
        <v>0</v>
      </c>
      <c r="D16" s="63" t="b">
        <v>0</v>
      </c>
      <c r="E16" s="63" t="b">
        <v>0</v>
      </c>
    </row>
    <row r="17">
      <c r="B17" s="63" t="b">
        <v>0</v>
      </c>
      <c r="C17" s="63" t="b">
        <v>0</v>
      </c>
      <c r="D17" s="63" t="b">
        <v>0</v>
      </c>
      <c r="E17" s="63" t="b">
        <v>0</v>
      </c>
    </row>
    <row r="18">
      <c r="B18" s="63" t="b">
        <v>0</v>
      </c>
      <c r="C18" s="63" t="b">
        <v>0</v>
      </c>
      <c r="D18" s="63" t="b">
        <v>0</v>
      </c>
      <c r="E18" s="63" t="b">
        <v>0</v>
      </c>
    </row>
    <row r="19">
      <c r="B19" s="63" t="b">
        <v>0</v>
      </c>
      <c r="C19" s="63" t="b">
        <v>0</v>
      </c>
      <c r="D19" s="63" t="b">
        <v>0</v>
      </c>
      <c r="E19" s="63" t="b">
        <v>0</v>
      </c>
    </row>
    <row r="20">
      <c r="B20" s="63" t="b">
        <v>0</v>
      </c>
      <c r="C20" s="63" t="b">
        <v>0</v>
      </c>
      <c r="D20" s="63" t="b">
        <v>0</v>
      </c>
      <c r="E20" s="63" t="b">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5"/>
    <col customWidth="1" min="2" max="2" width="8.5"/>
    <col customWidth="1" min="3" max="3" width="7.13"/>
    <col customWidth="1" min="4" max="4" width="8.38"/>
    <col customWidth="1" min="5" max="5" width="15.0"/>
    <col customWidth="1" min="6" max="6" width="11.88"/>
    <col customWidth="1" min="7" max="7" width="16.5"/>
    <col customWidth="1" min="8" max="8" width="23.38"/>
    <col customWidth="1" min="9" max="9" width="20.13"/>
    <col customWidth="1" min="19" max="19" width="15.13"/>
    <col customWidth="1" min="20" max="20" width="15.0"/>
    <col customWidth="1" min="21" max="21" width="30.88"/>
    <col customWidth="1" min="22" max="22" width="35.38"/>
    <col customWidth="1" min="23" max="23" width="38.25"/>
    <col customWidth="1" min="24" max="24" width="68.0"/>
    <col customWidth="1" min="25" max="25" width="66.13"/>
  </cols>
  <sheetData>
    <row r="1">
      <c r="A1" s="64" t="s">
        <v>0</v>
      </c>
      <c r="B1" s="64" t="s">
        <v>1</v>
      </c>
      <c r="C1" s="65" t="s">
        <v>2</v>
      </c>
      <c r="D1" s="64" t="s">
        <v>6</v>
      </c>
      <c r="E1" s="64" t="s">
        <v>256</v>
      </c>
      <c r="F1" s="64" t="s">
        <v>257</v>
      </c>
      <c r="G1" s="64" t="s">
        <v>258</v>
      </c>
      <c r="H1" s="64" t="s">
        <v>259</v>
      </c>
      <c r="I1" s="64" t="s">
        <v>260</v>
      </c>
      <c r="J1" s="64" t="s">
        <v>261</v>
      </c>
      <c r="K1" s="64" t="s">
        <v>262</v>
      </c>
      <c r="L1" s="64" t="s">
        <v>263</v>
      </c>
      <c r="M1" s="64" t="s">
        <v>264</v>
      </c>
      <c r="N1" s="64" t="s">
        <v>265</v>
      </c>
      <c r="O1" s="64" t="s">
        <v>266</v>
      </c>
      <c r="P1" s="64" t="s">
        <v>267</v>
      </c>
      <c r="Q1" s="64" t="s">
        <v>268</v>
      </c>
      <c r="R1" s="64" t="s">
        <v>269</v>
      </c>
      <c r="S1" s="64" t="s">
        <v>270</v>
      </c>
      <c r="T1" s="64" t="s">
        <v>271</v>
      </c>
      <c r="U1" s="64" t="s">
        <v>272</v>
      </c>
      <c r="V1" s="64" t="s">
        <v>273</v>
      </c>
      <c r="W1" s="64" t="s">
        <v>274</v>
      </c>
      <c r="X1" s="64" t="s">
        <v>275</v>
      </c>
      <c r="Y1" s="64" t="s">
        <v>276</v>
      </c>
      <c r="Z1" s="66"/>
      <c r="AA1" s="66"/>
      <c r="AB1" s="66"/>
      <c r="AC1" s="66"/>
      <c r="AD1" s="66"/>
    </row>
    <row r="2">
      <c r="A2" s="6" t="s">
        <v>13</v>
      </c>
      <c r="B2" s="7">
        <v>1.0</v>
      </c>
      <c r="C2" s="7">
        <v>1.0</v>
      </c>
      <c r="D2" s="7">
        <v>0.0</v>
      </c>
      <c r="U2" s="67"/>
      <c r="V2" s="67"/>
      <c r="W2" s="67"/>
      <c r="X2" s="67"/>
    </row>
    <row r="3">
      <c r="A3" s="6" t="s">
        <v>20</v>
      </c>
      <c r="B3" s="7">
        <v>1.0</v>
      </c>
      <c r="C3" s="7">
        <f t="shared" ref="C3:C41" si="1"> C2+1</f>
        <v>2</v>
      </c>
      <c r="D3" s="7">
        <v>0.0</v>
      </c>
      <c r="U3" s="67"/>
      <c r="V3" s="67"/>
      <c r="W3" s="67"/>
      <c r="X3" s="67"/>
    </row>
    <row r="4">
      <c r="A4" s="6" t="s">
        <v>22</v>
      </c>
      <c r="B4" s="7">
        <v>1.0</v>
      </c>
      <c r="C4" s="7">
        <f t="shared" si="1"/>
        <v>3</v>
      </c>
      <c r="D4" s="7">
        <v>1.0</v>
      </c>
      <c r="E4" s="68">
        <v>45851.96270833333</v>
      </c>
      <c r="F4" s="7" t="s">
        <v>277</v>
      </c>
      <c r="G4" s="7" t="s">
        <v>277</v>
      </c>
      <c r="H4" s="7" t="s">
        <v>277</v>
      </c>
      <c r="I4" s="7" t="s">
        <v>277</v>
      </c>
      <c r="J4" s="7" t="s">
        <v>277</v>
      </c>
      <c r="K4" s="7" t="s">
        <v>277</v>
      </c>
      <c r="L4" s="7">
        <v>4.0</v>
      </c>
      <c r="M4" s="7">
        <v>1.0</v>
      </c>
      <c r="N4" s="7">
        <v>5.0</v>
      </c>
      <c r="O4" s="7">
        <v>4.0</v>
      </c>
      <c r="P4" s="7">
        <v>4.0</v>
      </c>
      <c r="Q4" s="7">
        <v>5.0</v>
      </c>
      <c r="R4" s="7">
        <v>4.0</v>
      </c>
      <c r="S4" s="7">
        <v>4.0</v>
      </c>
      <c r="T4" s="7">
        <v>3.0</v>
      </c>
      <c r="U4" s="69" t="s">
        <v>278</v>
      </c>
      <c r="V4" s="69" t="s">
        <v>279</v>
      </c>
      <c r="W4" s="69" t="s">
        <v>280</v>
      </c>
      <c r="X4" s="69" t="s">
        <v>281</v>
      </c>
    </row>
    <row r="5">
      <c r="A5" s="6" t="s">
        <v>25</v>
      </c>
      <c r="B5" s="7">
        <v>1.0</v>
      </c>
      <c r="C5" s="7">
        <f t="shared" si="1"/>
        <v>4</v>
      </c>
      <c r="D5" s="7">
        <v>1.0</v>
      </c>
      <c r="E5" s="68">
        <v>45851.968506944446</v>
      </c>
      <c r="F5" s="7" t="s">
        <v>277</v>
      </c>
      <c r="G5" s="7" t="s">
        <v>277</v>
      </c>
      <c r="H5" s="7" t="s">
        <v>277</v>
      </c>
      <c r="I5" s="7" t="s">
        <v>277</v>
      </c>
      <c r="J5" s="7" t="s">
        <v>277</v>
      </c>
      <c r="K5" s="7" t="s">
        <v>277</v>
      </c>
      <c r="L5" s="7">
        <v>3.0</v>
      </c>
      <c r="M5" s="7">
        <v>1.0</v>
      </c>
      <c r="N5" s="7">
        <v>4.0</v>
      </c>
      <c r="O5" s="7">
        <v>3.0</v>
      </c>
      <c r="P5" s="7">
        <v>3.0</v>
      </c>
      <c r="Q5" s="7">
        <v>4.0</v>
      </c>
      <c r="R5" s="7">
        <v>4.0</v>
      </c>
      <c r="S5" s="7">
        <v>4.0</v>
      </c>
      <c r="T5" s="7">
        <v>1.0</v>
      </c>
      <c r="U5" s="69" t="s">
        <v>282</v>
      </c>
      <c r="V5" s="69" t="s">
        <v>283</v>
      </c>
      <c r="W5" s="69" t="s">
        <v>284</v>
      </c>
      <c r="X5" s="67"/>
    </row>
    <row r="6">
      <c r="A6" s="6" t="s">
        <v>28</v>
      </c>
      <c r="B6" s="7">
        <v>1.0</v>
      </c>
      <c r="C6" s="7">
        <f t="shared" si="1"/>
        <v>5</v>
      </c>
      <c r="D6" s="7">
        <v>0.0</v>
      </c>
      <c r="U6" s="67"/>
      <c r="V6" s="67"/>
      <c r="W6" s="67"/>
      <c r="X6" s="67"/>
    </row>
    <row r="7">
      <c r="A7" s="6" t="s">
        <v>31</v>
      </c>
      <c r="B7" s="7">
        <v>1.0</v>
      </c>
      <c r="C7" s="7">
        <f t="shared" si="1"/>
        <v>6</v>
      </c>
      <c r="D7" s="7">
        <v>1.0</v>
      </c>
      <c r="E7" s="68">
        <v>45851.97642361111</v>
      </c>
      <c r="F7" s="7" t="s">
        <v>277</v>
      </c>
      <c r="G7" s="7" t="s">
        <v>277</v>
      </c>
      <c r="H7" s="7" t="s">
        <v>277</v>
      </c>
      <c r="I7" s="7" t="s">
        <v>277</v>
      </c>
      <c r="J7" s="7" t="s">
        <v>277</v>
      </c>
      <c r="K7" s="7" t="s">
        <v>277</v>
      </c>
      <c r="L7" s="7">
        <v>3.0</v>
      </c>
      <c r="M7" s="7">
        <v>1.0</v>
      </c>
      <c r="N7" s="7">
        <v>5.0</v>
      </c>
      <c r="O7" s="7">
        <v>4.0</v>
      </c>
      <c r="P7" s="7">
        <v>5.0</v>
      </c>
      <c r="Q7" s="7">
        <v>5.0</v>
      </c>
      <c r="R7" s="7">
        <v>3.0</v>
      </c>
      <c r="S7" s="7">
        <v>5.0</v>
      </c>
      <c r="T7" s="7">
        <v>5.0</v>
      </c>
      <c r="U7" s="69" t="s">
        <v>285</v>
      </c>
      <c r="V7" s="69" t="s">
        <v>286</v>
      </c>
      <c r="W7" s="67"/>
      <c r="X7" s="67"/>
    </row>
    <row r="8">
      <c r="A8" s="6" t="s">
        <v>35</v>
      </c>
      <c r="B8" s="7">
        <v>1.0</v>
      </c>
      <c r="C8" s="7">
        <f t="shared" si="1"/>
        <v>7</v>
      </c>
      <c r="D8" s="7">
        <v>1.0</v>
      </c>
      <c r="E8" s="68">
        <v>45859.93887731482</v>
      </c>
      <c r="F8" s="7" t="s">
        <v>277</v>
      </c>
      <c r="G8" s="7" t="s">
        <v>287</v>
      </c>
      <c r="H8" s="7" t="s">
        <v>287</v>
      </c>
      <c r="I8" s="7" t="s">
        <v>277</v>
      </c>
      <c r="J8" s="7" t="s">
        <v>277</v>
      </c>
      <c r="K8" s="7" t="s">
        <v>287</v>
      </c>
      <c r="L8" s="7">
        <v>3.0</v>
      </c>
      <c r="M8" s="7">
        <v>1.0</v>
      </c>
      <c r="N8" s="7">
        <v>4.0</v>
      </c>
      <c r="O8" s="7">
        <v>3.0</v>
      </c>
      <c r="P8" s="7">
        <v>4.0</v>
      </c>
      <c r="Q8" s="7">
        <v>4.0</v>
      </c>
      <c r="R8" s="7">
        <v>5.0</v>
      </c>
      <c r="S8" s="7">
        <v>2.0</v>
      </c>
      <c r="T8" s="7">
        <v>2.0</v>
      </c>
      <c r="U8" s="69" t="s">
        <v>288</v>
      </c>
      <c r="V8" s="69" t="s">
        <v>289</v>
      </c>
      <c r="W8" s="69" t="s">
        <v>290</v>
      </c>
      <c r="X8" s="69" t="s">
        <v>291</v>
      </c>
    </row>
    <row r="9">
      <c r="A9" s="6" t="s">
        <v>37</v>
      </c>
      <c r="B9" s="7">
        <v>1.0</v>
      </c>
      <c r="C9" s="7">
        <f t="shared" si="1"/>
        <v>8</v>
      </c>
      <c r="D9" s="7">
        <v>0.0</v>
      </c>
      <c r="U9" s="67"/>
      <c r="V9" s="67"/>
      <c r="W9" s="67"/>
      <c r="X9" s="67"/>
    </row>
    <row r="10">
      <c r="A10" s="6" t="s">
        <v>39</v>
      </c>
      <c r="B10" s="7">
        <v>1.0</v>
      </c>
      <c r="C10" s="7">
        <f t="shared" si="1"/>
        <v>9</v>
      </c>
      <c r="D10" s="7">
        <v>0.0</v>
      </c>
      <c r="U10" s="67"/>
      <c r="V10" s="67"/>
      <c r="W10" s="67"/>
      <c r="X10" s="67"/>
    </row>
    <row r="11">
      <c r="A11" s="6" t="s">
        <v>41</v>
      </c>
      <c r="B11" s="7">
        <v>1.0</v>
      </c>
      <c r="C11" s="7">
        <f t="shared" si="1"/>
        <v>10</v>
      </c>
      <c r="D11" s="7">
        <v>0.0</v>
      </c>
      <c r="U11" s="67"/>
      <c r="V11" s="67"/>
      <c r="W11" s="67"/>
      <c r="X11" s="67"/>
    </row>
    <row r="12">
      <c r="A12" s="6" t="s">
        <v>43</v>
      </c>
      <c r="B12" s="7">
        <v>1.0</v>
      </c>
      <c r="C12" s="7">
        <f t="shared" si="1"/>
        <v>11</v>
      </c>
      <c r="D12" s="7">
        <v>0.0</v>
      </c>
      <c r="U12" s="67"/>
      <c r="V12" s="67"/>
      <c r="W12" s="67"/>
      <c r="X12" s="67"/>
    </row>
    <row r="13">
      <c r="A13" s="6" t="s">
        <v>46</v>
      </c>
      <c r="B13" s="7">
        <v>1.0</v>
      </c>
      <c r="C13" s="7">
        <f t="shared" si="1"/>
        <v>12</v>
      </c>
      <c r="D13" s="7">
        <v>0.0</v>
      </c>
      <c r="U13" s="67"/>
      <c r="V13" s="67"/>
      <c r="W13" s="67"/>
      <c r="X13" s="67"/>
    </row>
    <row r="14">
      <c r="A14" s="6" t="s">
        <v>48</v>
      </c>
      <c r="B14" s="7">
        <v>1.0</v>
      </c>
      <c r="C14" s="7">
        <f t="shared" si="1"/>
        <v>13</v>
      </c>
      <c r="D14" s="7">
        <v>0.0</v>
      </c>
      <c r="U14" s="67"/>
      <c r="V14" s="67"/>
      <c r="W14" s="67"/>
      <c r="X14" s="67"/>
    </row>
    <row r="15">
      <c r="A15" s="6" t="s">
        <v>51</v>
      </c>
      <c r="B15" s="7">
        <v>1.0</v>
      </c>
      <c r="C15" s="7">
        <f t="shared" si="1"/>
        <v>14</v>
      </c>
      <c r="D15" s="7">
        <v>0.0</v>
      </c>
      <c r="U15" s="67"/>
      <c r="V15" s="67"/>
      <c r="W15" s="67"/>
      <c r="X15" s="67"/>
    </row>
    <row r="16">
      <c r="A16" s="6" t="s">
        <v>53</v>
      </c>
      <c r="B16" s="7">
        <v>1.0</v>
      </c>
      <c r="C16" s="7">
        <f t="shared" si="1"/>
        <v>15</v>
      </c>
      <c r="D16" s="7">
        <v>0.0</v>
      </c>
      <c r="U16" s="67"/>
      <c r="V16" s="67"/>
      <c r="W16" s="67"/>
      <c r="X16" s="67"/>
    </row>
    <row r="17">
      <c r="A17" s="6" t="s">
        <v>55</v>
      </c>
      <c r="B17" s="7">
        <v>1.0</v>
      </c>
      <c r="C17" s="7">
        <f t="shared" si="1"/>
        <v>16</v>
      </c>
      <c r="D17" s="7">
        <v>0.0</v>
      </c>
      <c r="U17" s="67"/>
      <c r="V17" s="67"/>
      <c r="W17" s="67"/>
      <c r="X17" s="67"/>
    </row>
    <row r="18">
      <c r="A18" s="6" t="s">
        <v>58</v>
      </c>
      <c r="B18" s="7">
        <v>1.0</v>
      </c>
      <c r="C18" s="7">
        <f t="shared" si="1"/>
        <v>17</v>
      </c>
      <c r="D18" s="7">
        <v>0.0</v>
      </c>
      <c r="U18" s="67"/>
      <c r="V18" s="67"/>
      <c r="W18" s="67"/>
      <c r="X18" s="67"/>
    </row>
    <row r="19">
      <c r="A19" s="6" t="s">
        <v>60</v>
      </c>
      <c r="B19" s="7">
        <v>1.0</v>
      </c>
      <c r="C19" s="7">
        <f t="shared" si="1"/>
        <v>18</v>
      </c>
      <c r="D19" s="7">
        <v>0.0</v>
      </c>
      <c r="U19" s="67"/>
      <c r="V19" s="67"/>
      <c r="W19" s="67"/>
      <c r="X19" s="67"/>
    </row>
    <row r="20">
      <c r="A20" s="6" t="s">
        <v>62</v>
      </c>
      <c r="B20" s="7">
        <v>1.0</v>
      </c>
      <c r="C20" s="7">
        <f t="shared" si="1"/>
        <v>19</v>
      </c>
      <c r="D20" s="7">
        <v>0.0</v>
      </c>
      <c r="U20" s="67"/>
      <c r="V20" s="67"/>
      <c r="W20" s="67"/>
      <c r="X20" s="67"/>
    </row>
    <row r="21">
      <c r="A21" s="6" t="s">
        <v>64</v>
      </c>
      <c r="B21" s="7">
        <v>1.0</v>
      </c>
      <c r="C21" s="7">
        <f t="shared" si="1"/>
        <v>20</v>
      </c>
      <c r="D21" s="7">
        <v>0.0</v>
      </c>
      <c r="U21" s="67"/>
      <c r="V21" s="67"/>
      <c r="W21" s="67"/>
      <c r="X21" s="67"/>
    </row>
    <row r="22">
      <c r="A22" s="6" t="s">
        <v>66</v>
      </c>
      <c r="B22" s="7">
        <v>1.0</v>
      </c>
      <c r="C22" s="7">
        <f t="shared" si="1"/>
        <v>21</v>
      </c>
      <c r="D22" s="7">
        <v>0.0</v>
      </c>
      <c r="U22" s="67"/>
      <c r="V22" s="67"/>
      <c r="W22" s="67"/>
      <c r="X22" s="67"/>
    </row>
    <row r="23">
      <c r="A23" s="6" t="s">
        <v>68</v>
      </c>
      <c r="B23" s="7">
        <v>1.0</v>
      </c>
      <c r="C23" s="7">
        <f t="shared" si="1"/>
        <v>22</v>
      </c>
      <c r="D23" s="7">
        <v>0.0</v>
      </c>
      <c r="U23" s="67"/>
      <c r="V23" s="67"/>
      <c r="W23" s="67"/>
      <c r="X23" s="67"/>
    </row>
    <row r="24">
      <c r="A24" s="6" t="s">
        <v>70</v>
      </c>
      <c r="B24" s="7">
        <v>1.0</v>
      </c>
      <c r="C24" s="7">
        <f t="shared" si="1"/>
        <v>23</v>
      </c>
      <c r="D24" s="7">
        <v>0.0</v>
      </c>
      <c r="U24" s="67"/>
      <c r="V24" s="67"/>
      <c r="W24" s="67"/>
      <c r="X24" s="67"/>
    </row>
    <row r="25">
      <c r="A25" s="18" t="s">
        <v>72</v>
      </c>
      <c r="B25" s="19">
        <v>1.0</v>
      </c>
      <c r="C25" s="19">
        <f t="shared" si="1"/>
        <v>24</v>
      </c>
      <c r="D25" s="19">
        <v>0.0</v>
      </c>
      <c r="U25" s="67"/>
      <c r="V25" s="67"/>
      <c r="W25" s="67"/>
      <c r="X25" s="67"/>
    </row>
    <row r="26">
      <c r="A26" s="6" t="s">
        <v>74</v>
      </c>
      <c r="B26" s="7">
        <v>2.0</v>
      </c>
      <c r="C26" s="7">
        <f t="shared" si="1"/>
        <v>25</v>
      </c>
      <c r="D26" s="7">
        <v>0.0</v>
      </c>
      <c r="U26" s="67"/>
      <c r="V26" s="67"/>
      <c r="W26" s="67"/>
      <c r="X26" s="67"/>
    </row>
    <row r="27">
      <c r="A27" s="6" t="s">
        <v>77</v>
      </c>
      <c r="B27" s="7">
        <v>2.0</v>
      </c>
      <c r="C27" s="7">
        <f t="shared" si="1"/>
        <v>26</v>
      </c>
      <c r="D27" s="7">
        <v>0.0</v>
      </c>
      <c r="U27" s="67"/>
      <c r="V27" s="67"/>
      <c r="W27" s="67"/>
      <c r="X27" s="67"/>
    </row>
    <row r="28">
      <c r="A28" s="6" t="s">
        <v>79</v>
      </c>
      <c r="B28" s="7">
        <v>2.0</v>
      </c>
      <c r="C28" s="7">
        <f t="shared" si="1"/>
        <v>27</v>
      </c>
      <c r="D28" s="7">
        <v>0.0</v>
      </c>
      <c r="U28" s="67"/>
      <c r="V28" s="67"/>
      <c r="W28" s="67"/>
      <c r="X28" s="67"/>
    </row>
    <row r="29">
      <c r="A29" s="6" t="s">
        <v>81</v>
      </c>
      <c r="B29" s="7">
        <v>2.0</v>
      </c>
      <c r="C29" s="7">
        <f t="shared" si="1"/>
        <v>28</v>
      </c>
      <c r="D29" s="7">
        <v>0.0</v>
      </c>
      <c r="U29" s="67"/>
      <c r="V29" s="67"/>
      <c r="W29" s="67"/>
      <c r="X29" s="67"/>
    </row>
    <row r="30">
      <c r="A30" s="23" t="s">
        <v>83</v>
      </c>
      <c r="B30" s="1">
        <v>2.0</v>
      </c>
      <c r="C30" s="7">
        <f t="shared" si="1"/>
        <v>29</v>
      </c>
      <c r="D30" s="1">
        <v>0.0</v>
      </c>
      <c r="U30" s="67"/>
      <c r="V30" s="67"/>
      <c r="W30" s="67"/>
      <c r="X30" s="67"/>
    </row>
    <row r="31">
      <c r="A31" s="6" t="s">
        <v>86</v>
      </c>
      <c r="B31" s="7">
        <v>2.0</v>
      </c>
      <c r="C31" s="7">
        <f t="shared" si="1"/>
        <v>30</v>
      </c>
      <c r="D31" s="7">
        <v>0.0</v>
      </c>
      <c r="U31" s="67"/>
      <c r="V31" s="67"/>
      <c r="W31" s="67"/>
      <c r="X31" s="67"/>
    </row>
    <row r="32">
      <c r="A32" s="6" t="s">
        <v>88</v>
      </c>
      <c r="B32" s="7">
        <v>2.0</v>
      </c>
      <c r="C32" s="7">
        <f t="shared" si="1"/>
        <v>31</v>
      </c>
      <c r="D32" s="7">
        <v>0.0</v>
      </c>
      <c r="U32" s="67"/>
      <c r="V32" s="67"/>
      <c r="W32" s="67"/>
      <c r="X32" s="67"/>
    </row>
    <row r="33">
      <c r="A33" s="6" t="s">
        <v>90</v>
      </c>
      <c r="B33" s="7">
        <v>2.0</v>
      </c>
      <c r="C33" s="7">
        <f t="shared" si="1"/>
        <v>32</v>
      </c>
      <c r="D33" s="7">
        <v>0.0</v>
      </c>
      <c r="U33" s="67"/>
      <c r="V33" s="67"/>
      <c r="W33" s="67"/>
      <c r="X33" s="67"/>
    </row>
    <row r="34">
      <c r="A34" s="6" t="s">
        <v>92</v>
      </c>
      <c r="B34" s="7">
        <v>2.0</v>
      </c>
      <c r="C34" s="7">
        <f t="shared" si="1"/>
        <v>33</v>
      </c>
      <c r="D34" s="7">
        <v>0.0</v>
      </c>
      <c r="U34" s="67"/>
      <c r="V34" s="67"/>
      <c r="W34" s="67"/>
      <c r="X34" s="67"/>
    </row>
    <row r="35">
      <c r="A35" s="6" t="s">
        <v>94</v>
      </c>
      <c r="B35" s="7">
        <v>2.0</v>
      </c>
      <c r="C35" s="7">
        <f t="shared" si="1"/>
        <v>34</v>
      </c>
      <c r="D35" s="7">
        <v>0.0</v>
      </c>
      <c r="U35" s="67"/>
      <c r="V35" s="67"/>
      <c r="W35" s="67"/>
      <c r="X35" s="67"/>
    </row>
    <row r="36">
      <c r="A36" s="25" t="s">
        <v>95</v>
      </c>
      <c r="B36" s="7">
        <v>2.0</v>
      </c>
      <c r="C36" s="7">
        <f t="shared" si="1"/>
        <v>35</v>
      </c>
      <c r="D36" s="7"/>
      <c r="U36" s="67"/>
      <c r="V36" s="67"/>
      <c r="W36" s="67"/>
      <c r="X36" s="67"/>
    </row>
    <row r="37">
      <c r="A37" s="26" t="s">
        <v>96</v>
      </c>
      <c r="B37" s="27">
        <v>2.0</v>
      </c>
      <c r="C37" s="27">
        <f t="shared" si="1"/>
        <v>36</v>
      </c>
      <c r="D37" s="27"/>
      <c r="U37" s="67"/>
      <c r="V37" s="67"/>
      <c r="W37" s="67"/>
      <c r="X37" s="67"/>
    </row>
    <row r="38">
      <c r="A38" s="25" t="s">
        <v>97</v>
      </c>
      <c r="B38" s="7">
        <v>3.0</v>
      </c>
      <c r="C38" s="7">
        <f t="shared" si="1"/>
        <v>37</v>
      </c>
      <c r="D38" s="7"/>
      <c r="U38" s="67"/>
      <c r="V38" s="67"/>
      <c r="W38" s="67"/>
      <c r="X38" s="67"/>
    </row>
    <row r="39">
      <c r="A39" s="25" t="s">
        <v>100</v>
      </c>
      <c r="B39" s="7">
        <v>3.0</v>
      </c>
      <c r="C39" s="7">
        <f t="shared" si="1"/>
        <v>38</v>
      </c>
      <c r="D39" s="7"/>
      <c r="U39" s="67"/>
      <c r="V39" s="67"/>
      <c r="W39" s="67"/>
      <c r="X39" s="67"/>
    </row>
    <row r="40">
      <c r="A40" s="25" t="s">
        <v>102</v>
      </c>
      <c r="B40" s="7">
        <v>3.0</v>
      </c>
      <c r="C40" s="7">
        <f t="shared" si="1"/>
        <v>39</v>
      </c>
      <c r="D40" s="7"/>
      <c r="U40" s="67"/>
      <c r="V40" s="67"/>
      <c r="W40" s="67"/>
      <c r="X40" s="67"/>
    </row>
    <row r="41">
      <c r="A41" s="32" t="s">
        <v>104</v>
      </c>
      <c r="B41" s="7">
        <v>3.0</v>
      </c>
      <c r="C41" s="7">
        <f t="shared" si="1"/>
        <v>40</v>
      </c>
      <c r="D41" s="7"/>
      <c r="U41" s="67"/>
      <c r="V41" s="67"/>
      <c r="W41" s="67"/>
      <c r="X41" s="67"/>
    </row>
    <row r="42">
      <c r="A42" s="32" t="s">
        <v>106</v>
      </c>
      <c r="B42" s="7">
        <v>3.0</v>
      </c>
      <c r="C42" s="7">
        <f> C43+1</f>
        <v>42</v>
      </c>
      <c r="D42" s="7"/>
      <c r="U42" s="67"/>
      <c r="V42" s="67"/>
      <c r="W42" s="67"/>
      <c r="X42" s="67"/>
    </row>
    <row r="43">
      <c r="A43" s="32" t="s">
        <v>108</v>
      </c>
      <c r="B43" s="7">
        <v>3.0</v>
      </c>
      <c r="C43" s="7">
        <f t="shared" ref="C43:C44" si="2"> C41+1</f>
        <v>41</v>
      </c>
      <c r="D43" s="7"/>
      <c r="U43" s="67"/>
      <c r="V43" s="67"/>
      <c r="W43" s="67"/>
      <c r="X43" s="67"/>
    </row>
    <row r="44">
      <c r="A44" s="32" t="s">
        <v>110</v>
      </c>
      <c r="B44" s="7">
        <v>3.0</v>
      </c>
      <c r="C44" s="7">
        <f t="shared" si="2"/>
        <v>43</v>
      </c>
      <c r="D44" s="7"/>
      <c r="U44" s="67"/>
      <c r="V44" s="67"/>
      <c r="W44" s="67"/>
      <c r="X44" s="67"/>
    </row>
    <row r="45">
      <c r="A45" s="32" t="s">
        <v>112</v>
      </c>
      <c r="B45" s="7">
        <v>3.0</v>
      </c>
      <c r="C45" s="7">
        <f t="shared" ref="C45:C129" si="3"> C44+1</f>
        <v>44</v>
      </c>
      <c r="D45" s="7"/>
      <c r="U45" s="67"/>
      <c r="V45" s="67"/>
      <c r="W45" s="67"/>
      <c r="X45" s="67"/>
    </row>
    <row r="46">
      <c r="A46" s="32" t="s">
        <v>114</v>
      </c>
      <c r="B46" s="7">
        <v>3.0</v>
      </c>
      <c r="C46" s="7">
        <f t="shared" si="3"/>
        <v>45</v>
      </c>
      <c r="D46" s="7"/>
      <c r="U46" s="67"/>
      <c r="V46" s="67"/>
      <c r="W46" s="67"/>
      <c r="X46" s="67"/>
    </row>
    <row r="47">
      <c r="A47" s="32" t="s">
        <v>116</v>
      </c>
      <c r="B47" s="7">
        <v>3.0</v>
      </c>
      <c r="C47" s="7">
        <f t="shared" si="3"/>
        <v>46</v>
      </c>
      <c r="D47" s="7"/>
      <c r="U47" s="67"/>
      <c r="V47" s="67"/>
      <c r="W47" s="67"/>
      <c r="X47" s="67"/>
    </row>
    <row r="48">
      <c r="A48" s="32" t="s">
        <v>118</v>
      </c>
      <c r="B48" s="7">
        <v>3.0</v>
      </c>
      <c r="C48" s="7">
        <f t="shared" si="3"/>
        <v>47</v>
      </c>
      <c r="D48" s="7"/>
      <c r="U48" s="67"/>
      <c r="V48" s="67"/>
      <c r="W48" s="67"/>
      <c r="X48" s="67"/>
    </row>
    <row r="49">
      <c r="A49" s="40" t="s">
        <v>120</v>
      </c>
      <c r="B49" s="7">
        <v>3.0</v>
      </c>
      <c r="C49" s="7">
        <f t="shared" si="3"/>
        <v>48</v>
      </c>
      <c r="D49" s="7"/>
      <c r="U49" s="67"/>
      <c r="V49" s="67"/>
      <c r="W49" s="67"/>
      <c r="X49" s="67"/>
    </row>
    <row r="50">
      <c r="A50" s="40" t="s">
        <v>292</v>
      </c>
      <c r="B50" s="7">
        <v>3.0</v>
      </c>
      <c r="C50" s="7">
        <f t="shared" si="3"/>
        <v>49</v>
      </c>
      <c r="D50" s="7"/>
      <c r="U50" s="67"/>
      <c r="V50" s="67"/>
      <c r="W50" s="67"/>
      <c r="X50" s="67"/>
    </row>
    <row r="51">
      <c r="A51" s="40" t="s">
        <v>122</v>
      </c>
      <c r="B51" s="7">
        <v>3.0</v>
      </c>
      <c r="C51" s="7">
        <f t="shared" si="3"/>
        <v>50</v>
      </c>
      <c r="D51" s="7"/>
      <c r="U51" s="67"/>
      <c r="V51" s="67"/>
      <c r="W51" s="67"/>
      <c r="X51" s="67"/>
    </row>
    <row r="52">
      <c r="A52" s="40" t="s">
        <v>124</v>
      </c>
      <c r="B52" s="7">
        <v>3.0</v>
      </c>
      <c r="C52" s="7">
        <f t="shared" si="3"/>
        <v>51</v>
      </c>
      <c r="D52" s="7"/>
      <c r="U52" s="67"/>
      <c r="V52" s="67"/>
      <c r="W52" s="67"/>
      <c r="X52" s="67"/>
    </row>
    <row r="53">
      <c r="A53" s="32" t="s">
        <v>126</v>
      </c>
      <c r="B53" s="7">
        <v>3.0</v>
      </c>
      <c r="C53" s="7">
        <f t="shared" si="3"/>
        <v>52</v>
      </c>
      <c r="D53" s="7"/>
      <c r="U53" s="67"/>
      <c r="V53" s="67"/>
      <c r="W53" s="67"/>
      <c r="X53" s="67"/>
    </row>
    <row r="54">
      <c r="A54" s="32" t="s">
        <v>128</v>
      </c>
      <c r="B54" s="7">
        <v>3.0</v>
      </c>
      <c r="C54" s="7">
        <f t="shared" si="3"/>
        <v>53</v>
      </c>
      <c r="D54" s="7"/>
      <c r="U54" s="67"/>
      <c r="V54" s="67"/>
      <c r="W54" s="67"/>
      <c r="X54" s="67"/>
    </row>
    <row r="55">
      <c r="A55" s="32" t="s">
        <v>130</v>
      </c>
      <c r="B55" s="7">
        <v>3.0</v>
      </c>
      <c r="C55" s="7">
        <f t="shared" si="3"/>
        <v>54</v>
      </c>
      <c r="D55" s="7"/>
      <c r="U55" s="67"/>
      <c r="V55" s="67"/>
      <c r="W55" s="67"/>
      <c r="X55" s="67"/>
    </row>
    <row r="56">
      <c r="A56" s="70" t="s">
        <v>132</v>
      </c>
      <c r="B56" s="27">
        <v>3.0</v>
      </c>
      <c r="C56" s="7">
        <f t="shared" si="3"/>
        <v>55</v>
      </c>
      <c r="D56" s="27"/>
      <c r="U56" s="67"/>
      <c r="V56" s="67"/>
      <c r="W56" s="67"/>
      <c r="X56" s="67"/>
    </row>
    <row r="57">
      <c r="A57" s="41" t="s">
        <v>142</v>
      </c>
      <c r="B57" s="7">
        <v>4.0</v>
      </c>
      <c r="C57" s="43">
        <f t="shared" si="3"/>
        <v>56</v>
      </c>
      <c r="D57" s="7"/>
      <c r="U57" s="67"/>
      <c r="V57" s="67"/>
      <c r="W57" s="67"/>
      <c r="X57" s="67"/>
    </row>
    <row r="58">
      <c r="A58" s="41" t="s">
        <v>229</v>
      </c>
      <c r="B58" s="7">
        <v>4.0</v>
      </c>
      <c r="C58" s="7">
        <f t="shared" si="3"/>
        <v>57</v>
      </c>
      <c r="D58" s="7"/>
      <c r="U58" s="67"/>
      <c r="V58" s="67"/>
      <c r="W58" s="67"/>
      <c r="X58" s="67"/>
    </row>
    <row r="59">
      <c r="A59" s="71" t="s">
        <v>151</v>
      </c>
      <c r="B59" s="19">
        <v>4.0</v>
      </c>
      <c r="C59" s="19">
        <f t="shared" si="3"/>
        <v>58</v>
      </c>
      <c r="D59" s="19"/>
      <c r="U59" s="67"/>
      <c r="V59" s="67"/>
      <c r="W59" s="67"/>
      <c r="X59" s="67"/>
    </row>
    <row r="60">
      <c r="A60" s="41" t="s">
        <v>154</v>
      </c>
      <c r="B60" s="7">
        <v>5.0</v>
      </c>
      <c r="C60" s="7">
        <f t="shared" si="3"/>
        <v>59</v>
      </c>
      <c r="D60" s="7"/>
      <c r="U60" s="67"/>
      <c r="V60" s="67"/>
      <c r="W60" s="67"/>
      <c r="X60" s="67"/>
    </row>
    <row r="61">
      <c r="A61" s="40" t="s">
        <v>156</v>
      </c>
      <c r="B61" s="7">
        <v>5.0</v>
      </c>
      <c r="C61" s="7">
        <f t="shared" si="3"/>
        <v>60</v>
      </c>
      <c r="D61" s="7"/>
      <c r="U61" s="67"/>
      <c r="V61" s="67"/>
      <c r="W61" s="67"/>
      <c r="X61" s="67"/>
    </row>
    <row r="62">
      <c r="A62" s="37" t="s">
        <v>158</v>
      </c>
      <c r="B62" s="1">
        <v>5.0</v>
      </c>
      <c r="C62" s="1">
        <f t="shared" si="3"/>
        <v>61</v>
      </c>
      <c r="D62" s="1"/>
      <c r="U62" s="67"/>
      <c r="V62" s="67"/>
      <c r="W62" s="67"/>
      <c r="X62" s="67"/>
    </row>
    <row r="63">
      <c r="A63" s="40" t="s">
        <v>160</v>
      </c>
      <c r="B63" s="7">
        <v>5.0</v>
      </c>
      <c r="C63" s="7">
        <f t="shared" si="3"/>
        <v>62</v>
      </c>
      <c r="D63" s="7"/>
      <c r="U63" s="67"/>
      <c r="V63" s="67"/>
      <c r="W63" s="67"/>
      <c r="X63" s="67"/>
    </row>
    <row r="64">
      <c r="A64" s="40" t="s">
        <v>163</v>
      </c>
      <c r="B64" s="7">
        <v>5.0</v>
      </c>
      <c r="C64" s="7">
        <f t="shared" si="3"/>
        <v>63</v>
      </c>
      <c r="D64" s="7"/>
      <c r="U64" s="67"/>
      <c r="V64" s="67"/>
      <c r="W64" s="67"/>
      <c r="X64" s="67"/>
    </row>
    <row r="65">
      <c r="A65" s="40" t="s">
        <v>165</v>
      </c>
      <c r="B65" s="7">
        <v>5.0</v>
      </c>
      <c r="C65" s="7">
        <f t="shared" si="3"/>
        <v>64</v>
      </c>
      <c r="D65" s="7"/>
      <c r="U65" s="67"/>
      <c r="V65" s="67"/>
      <c r="W65" s="67"/>
      <c r="X65" s="67"/>
    </row>
    <row r="66">
      <c r="A66" s="40" t="s">
        <v>167</v>
      </c>
      <c r="B66" s="7">
        <v>5.0</v>
      </c>
      <c r="C66" s="7">
        <f t="shared" si="3"/>
        <v>65</v>
      </c>
      <c r="D66" s="7"/>
      <c r="U66" s="67"/>
      <c r="V66" s="67"/>
      <c r="W66" s="67"/>
      <c r="X66" s="67"/>
    </row>
    <row r="67">
      <c r="A67" s="41" t="s">
        <v>169</v>
      </c>
      <c r="B67" s="7">
        <v>5.0</v>
      </c>
      <c r="C67" s="7">
        <f t="shared" si="3"/>
        <v>66</v>
      </c>
      <c r="D67" s="7"/>
      <c r="U67" s="67"/>
      <c r="V67" s="67"/>
      <c r="W67" s="67"/>
      <c r="X67" s="67"/>
    </row>
    <row r="68">
      <c r="A68" s="32" t="s">
        <v>293</v>
      </c>
      <c r="B68" s="7">
        <v>5.0</v>
      </c>
      <c r="C68" s="7">
        <f t="shared" si="3"/>
        <v>67</v>
      </c>
      <c r="D68" s="7"/>
      <c r="U68" s="67"/>
      <c r="V68" s="67"/>
      <c r="W68" s="67"/>
      <c r="X68" s="67"/>
    </row>
    <row r="69">
      <c r="A69" s="40" t="s">
        <v>172</v>
      </c>
      <c r="B69" s="7">
        <v>5.0</v>
      </c>
      <c r="C69" s="7">
        <f t="shared" si="3"/>
        <v>68</v>
      </c>
      <c r="D69" s="7"/>
      <c r="U69" s="67"/>
      <c r="V69" s="67"/>
      <c r="W69" s="67"/>
      <c r="X69" s="67"/>
    </row>
    <row r="70">
      <c r="A70" s="40" t="s">
        <v>174</v>
      </c>
      <c r="B70" s="7">
        <v>5.0</v>
      </c>
      <c r="C70" s="7">
        <f t="shared" si="3"/>
        <v>69</v>
      </c>
      <c r="D70" s="7"/>
      <c r="U70" s="67"/>
      <c r="V70" s="67"/>
      <c r="W70" s="67"/>
      <c r="X70" s="67"/>
    </row>
    <row r="71">
      <c r="A71" s="32" t="s">
        <v>175</v>
      </c>
      <c r="B71" s="7">
        <v>5.0</v>
      </c>
      <c r="C71" s="7">
        <f t="shared" si="3"/>
        <v>70</v>
      </c>
      <c r="D71" s="7"/>
      <c r="U71" s="67"/>
      <c r="V71" s="67"/>
      <c r="W71" s="67"/>
      <c r="X71" s="67"/>
    </row>
    <row r="72">
      <c r="A72" s="41" t="s">
        <v>177</v>
      </c>
      <c r="B72" s="7">
        <v>5.0</v>
      </c>
      <c r="C72" s="7">
        <f t="shared" si="3"/>
        <v>71</v>
      </c>
      <c r="D72" s="7"/>
      <c r="U72" s="67"/>
      <c r="V72" s="67"/>
      <c r="W72" s="67"/>
      <c r="X72" s="67"/>
    </row>
    <row r="73">
      <c r="A73" s="48" t="s">
        <v>186</v>
      </c>
      <c r="B73" s="49">
        <v>8.0</v>
      </c>
      <c r="C73" s="49">
        <f t="shared" si="3"/>
        <v>72</v>
      </c>
      <c r="D73" s="49"/>
      <c r="U73" s="67"/>
      <c r="V73" s="67"/>
      <c r="W73" s="67"/>
      <c r="X73" s="67"/>
    </row>
    <row r="74">
      <c r="A74" s="35" t="s">
        <v>190</v>
      </c>
      <c r="B74" s="19">
        <v>8.0</v>
      </c>
      <c r="C74" s="19">
        <f t="shared" si="3"/>
        <v>73</v>
      </c>
      <c r="D74" s="19"/>
      <c r="U74" s="67"/>
      <c r="V74" s="67"/>
      <c r="W74" s="67"/>
      <c r="X74" s="67"/>
    </row>
    <row r="75">
      <c r="A75" s="40" t="s">
        <v>194</v>
      </c>
      <c r="B75" s="7">
        <v>11.0</v>
      </c>
      <c r="C75" s="7">
        <f t="shared" si="3"/>
        <v>74</v>
      </c>
      <c r="D75" s="7"/>
      <c r="U75" s="67"/>
      <c r="V75" s="67"/>
      <c r="W75" s="67"/>
      <c r="X75" s="67"/>
    </row>
    <row r="76">
      <c r="A76" s="40" t="s">
        <v>196</v>
      </c>
      <c r="B76" s="7">
        <v>11.0</v>
      </c>
      <c r="C76" s="7">
        <f t="shared" si="3"/>
        <v>75</v>
      </c>
      <c r="D76" s="7"/>
      <c r="U76" s="67"/>
      <c r="V76" s="67"/>
      <c r="W76" s="67"/>
      <c r="X76" s="67"/>
    </row>
    <row r="77">
      <c r="A77" s="40" t="s">
        <v>198</v>
      </c>
      <c r="B77" s="7">
        <v>11.0</v>
      </c>
      <c r="C77" s="7">
        <f t="shared" si="3"/>
        <v>76</v>
      </c>
      <c r="D77" s="7"/>
      <c r="U77" s="67"/>
      <c r="V77" s="67"/>
      <c r="W77" s="67"/>
      <c r="X77" s="67"/>
    </row>
    <row r="78">
      <c r="A78" s="41" t="s">
        <v>200</v>
      </c>
      <c r="B78" s="7">
        <v>11.0</v>
      </c>
      <c r="C78" s="7">
        <f t="shared" si="3"/>
        <v>77</v>
      </c>
      <c r="D78" s="7"/>
      <c r="U78" s="67"/>
      <c r="V78" s="67"/>
      <c r="W78" s="67"/>
      <c r="X78" s="67"/>
    </row>
    <row r="79">
      <c r="A79" s="40" t="s">
        <v>202</v>
      </c>
      <c r="B79" s="7">
        <v>11.0</v>
      </c>
      <c r="C79" s="7">
        <f t="shared" si="3"/>
        <v>78</v>
      </c>
      <c r="D79" s="7"/>
      <c r="U79" s="67"/>
      <c r="V79" s="67"/>
      <c r="W79" s="67"/>
      <c r="X79" s="67"/>
    </row>
    <row r="80">
      <c r="A80" s="41" t="s">
        <v>204</v>
      </c>
      <c r="B80" s="7">
        <v>11.0</v>
      </c>
      <c r="C80" s="7">
        <f t="shared" si="3"/>
        <v>79</v>
      </c>
      <c r="D80" s="7"/>
      <c r="U80" s="67"/>
      <c r="V80" s="67"/>
      <c r="W80" s="67"/>
      <c r="X80" s="67"/>
    </row>
    <row r="81">
      <c r="A81" s="41" t="s">
        <v>206</v>
      </c>
      <c r="B81" s="7">
        <v>11.0</v>
      </c>
      <c r="C81" s="7">
        <f t="shared" si="3"/>
        <v>80</v>
      </c>
      <c r="D81" s="7"/>
      <c r="U81" s="67"/>
      <c r="V81" s="67"/>
      <c r="W81" s="67"/>
      <c r="X81" s="67"/>
    </row>
    <row r="82">
      <c r="A82" s="41" t="s">
        <v>208</v>
      </c>
      <c r="B82" s="7">
        <v>11.0</v>
      </c>
      <c r="C82" s="7">
        <f t="shared" si="3"/>
        <v>81</v>
      </c>
      <c r="D82" s="7"/>
      <c r="U82" s="67"/>
      <c r="V82" s="67"/>
      <c r="W82" s="67"/>
      <c r="X82" s="67"/>
    </row>
    <row r="83">
      <c r="A83" s="40" t="s">
        <v>210</v>
      </c>
      <c r="B83" s="7">
        <v>11.0</v>
      </c>
      <c r="C83" s="7">
        <f t="shared" si="3"/>
        <v>82</v>
      </c>
      <c r="D83" s="7"/>
      <c r="U83" s="67"/>
      <c r="V83" s="67"/>
      <c r="W83" s="67"/>
      <c r="X83" s="67"/>
    </row>
    <row r="84">
      <c r="A84" s="72" t="s">
        <v>212</v>
      </c>
      <c r="B84" s="19">
        <v>11.0</v>
      </c>
      <c r="C84" s="19">
        <f t="shared" si="3"/>
        <v>83</v>
      </c>
      <c r="D84" s="7"/>
      <c r="U84" s="67"/>
      <c r="V84" s="67"/>
      <c r="W84" s="67"/>
      <c r="X84" s="67"/>
    </row>
    <row r="85">
      <c r="A85" s="40" t="s">
        <v>220</v>
      </c>
      <c r="B85" s="7">
        <v>18.0</v>
      </c>
      <c r="C85" s="7">
        <f t="shared" si="3"/>
        <v>84</v>
      </c>
      <c r="D85" s="7"/>
      <c r="U85" s="67"/>
      <c r="V85" s="67"/>
      <c r="W85" s="67"/>
      <c r="X85" s="67"/>
    </row>
    <row r="86">
      <c r="A86" s="40" t="s">
        <v>294</v>
      </c>
      <c r="B86" s="7">
        <v>18.0</v>
      </c>
      <c r="C86" s="7">
        <f t="shared" si="3"/>
        <v>85</v>
      </c>
      <c r="D86" s="7"/>
      <c r="U86" s="67"/>
      <c r="V86" s="67"/>
      <c r="W86" s="67"/>
      <c r="X86" s="67"/>
    </row>
    <row r="87">
      <c r="A87" s="40" t="s">
        <v>295</v>
      </c>
      <c r="B87" s="7">
        <v>18.0</v>
      </c>
      <c r="C87" s="7">
        <f t="shared" si="3"/>
        <v>86</v>
      </c>
      <c r="D87" s="7"/>
      <c r="U87" s="67"/>
      <c r="V87" s="67"/>
      <c r="W87" s="67"/>
      <c r="X87" s="67"/>
    </row>
    <row r="88">
      <c r="A88" s="40" t="s">
        <v>296</v>
      </c>
      <c r="B88" s="7">
        <v>18.0</v>
      </c>
      <c r="C88" s="7">
        <f t="shared" si="3"/>
        <v>87</v>
      </c>
      <c r="D88" s="7"/>
      <c r="U88" s="67"/>
      <c r="V88" s="67"/>
      <c r="W88" s="67"/>
      <c r="X88" s="67"/>
    </row>
    <row r="89">
      <c r="A89" s="41" t="s">
        <v>222</v>
      </c>
      <c r="B89" s="7">
        <v>18.0</v>
      </c>
      <c r="C89" s="7">
        <f t="shared" si="3"/>
        <v>88</v>
      </c>
      <c r="D89" s="7"/>
      <c r="U89" s="67"/>
      <c r="V89" s="67"/>
      <c r="W89" s="67"/>
      <c r="X89" s="67"/>
    </row>
    <row r="90">
      <c r="A90" s="40" t="s">
        <v>297</v>
      </c>
      <c r="B90" s="7">
        <v>18.0</v>
      </c>
      <c r="C90" s="7">
        <f t="shared" si="3"/>
        <v>89</v>
      </c>
      <c r="D90" s="7"/>
      <c r="U90" s="67"/>
      <c r="V90" s="67"/>
      <c r="W90" s="67"/>
      <c r="X90" s="67"/>
    </row>
    <row r="91">
      <c r="A91" s="40" t="s">
        <v>223</v>
      </c>
      <c r="B91" s="7">
        <v>18.0</v>
      </c>
      <c r="C91" s="7">
        <f t="shared" si="3"/>
        <v>90</v>
      </c>
      <c r="D91" s="7"/>
      <c r="U91" s="67"/>
      <c r="V91" s="67"/>
      <c r="W91" s="67"/>
      <c r="X91" s="67"/>
    </row>
    <row r="92">
      <c r="A92" s="40" t="s">
        <v>298</v>
      </c>
      <c r="B92" s="7">
        <v>18.0</v>
      </c>
      <c r="C92" s="7">
        <f t="shared" si="3"/>
        <v>91</v>
      </c>
      <c r="D92" s="7"/>
      <c r="U92" s="67"/>
      <c r="V92" s="67"/>
      <c r="W92" s="67"/>
      <c r="X92" s="67"/>
    </row>
    <row r="93">
      <c r="A93" s="40" t="s">
        <v>299</v>
      </c>
      <c r="B93" s="7">
        <v>18.0</v>
      </c>
      <c r="C93" s="7">
        <f t="shared" si="3"/>
        <v>92</v>
      </c>
      <c r="D93" s="7"/>
      <c r="U93" s="67"/>
      <c r="V93" s="67"/>
      <c r="W93" s="67"/>
      <c r="X93" s="67"/>
    </row>
    <row r="94">
      <c r="A94" s="40" t="s">
        <v>224</v>
      </c>
      <c r="B94" s="7">
        <v>18.0</v>
      </c>
      <c r="C94" s="7">
        <f t="shared" si="3"/>
        <v>93</v>
      </c>
      <c r="D94" s="7"/>
      <c r="U94" s="67"/>
      <c r="V94" s="67"/>
      <c r="W94" s="67"/>
      <c r="X94" s="67"/>
    </row>
    <row r="95">
      <c r="A95" s="72" t="s">
        <v>225</v>
      </c>
      <c r="B95" s="19">
        <v>18.0</v>
      </c>
      <c r="C95" s="19">
        <f t="shared" si="3"/>
        <v>94</v>
      </c>
      <c r="D95" s="7"/>
      <c r="U95" s="67"/>
      <c r="V95" s="67"/>
      <c r="W95" s="67"/>
      <c r="X95" s="67"/>
    </row>
    <row r="96">
      <c r="A96" s="40" t="s">
        <v>229</v>
      </c>
      <c r="B96" s="7">
        <v>21.0</v>
      </c>
      <c r="C96" s="7">
        <f t="shared" si="3"/>
        <v>95</v>
      </c>
      <c r="D96" s="7"/>
      <c r="U96" s="67"/>
      <c r="V96" s="67"/>
      <c r="W96" s="67"/>
      <c r="X96" s="67"/>
    </row>
    <row r="97">
      <c r="A97" s="62" t="s">
        <v>236</v>
      </c>
      <c r="B97" s="49">
        <v>23.0</v>
      </c>
      <c r="C97" s="49">
        <f t="shared" si="3"/>
        <v>96</v>
      </c>
      <c r="D97" s="49"/>
      <c r="U97" s="67"/>
      <c r="V97" s="67"/>
      <c r="W97" s="67"/>
      <c r="X97" s="67"/>
    </row>
    <row r="98">
      <c r="A98" s="40" t="s">
        <v>239</v>
      </c>
      <c r="B98" s="7">
        <v>23.0</v>
      </c>
      <c r="C98" s="7">
        <f t="shared" si="3"/>
        <v>97</v>
      </c>
      <c r="D98" s="7"/>
      <c r="U98" s="67"/>
      <c r="V98" s="67"/>
      <c r="W98" s="67"/>
      <c r="X98" s="67"/>
    </row>
    <row r="99">
      <c r="A99" s="40" t="s">
        <v>240</v>
      </c>
      <c r="B99" s="7">
        <v>23.0</v>
      </c>
      <c r="C99" s="7">
        <f t="shared" si="3"/>
        <v>98</v>
      </c>
      <c r="D99" s="7"/>
      <c r="U99" s="67"/>
      <c r="V99" s="67"/>
      <c r="W99" s="67"/>
      <c r="X99" s="67"/>
    </row>
    <row r="100">
      <c r="A100" s="40"/>
      <c r="B100" s="7">
        <v>23.0</v>
      </c>
      <c r="C100" s="7">
        <f t="shared" si="3"/>
        <v>99</v>
      </c>
      <c r="D100" s="7"/>
      <c r="U100" s="67"/>
      <c r="V100" s="67"/>
      <c r="W100" s="67"/>
      <c r="X100" s="67"/>
    </row>
    <row r="101">
      <c r="A101" s="40"/>
      <c r="B101" s="7">
        <v>23.0</v>
      </c>
      <c r="C101" s="7">
        <f t="shared" si="3"/>
        <v>100</v>
      </c>
      <c r="D101" s="7"/>
      <c r="U101" s="67"/>
      <c r="V101" s="67"/>
      <c r="W101" s="67"/>
      <c r="X101" s="67"/>
    </row>
    <row r="102">
      <c r="A102" s="40"/>
      <c r="B102" s="7">
        <v>23.0</v>
      </c>
      <c r="C102" s="7">
        <f t="shared" si="3"/>
        <v>101</v>
      </c>
      <c r="D102" s="7"/>
      <c r="U102" s="67"/>
      <c r="V102" s="67"/>
      <c r="W102" s="67"/>
      <c r="X102" s="67"/>
    </row>
    <row r="103">
      <c r="A103" s="40"/>
      <c r="B103" s="7">
        <v>23.0</v>
      </c>
      <c r="C103" s="7">
        <f t="shared" si="3"/>
        <v>102</v>
      </c>
      <c r="D103" s="7"/>
      <c r="U103" s="67"/>
      <c r="V103" s="67"/>
      <c r="W103" s="67"/>
      <c r="X103" s="67"/>
    </row>
    <row r="104">
      <c r="A104" s="40"/>
      <c r="B104" s="7">
        <v>23.0</v>
      </c>
      <c r="C104" s="7">
        <f t="shared" si="3"/>
        <v>103</v>
      </c>
      <c r="D104" s="7"/>
      <c r="U104" s="67"/>
      <c r="V104" s="67"/>
      <c r="W104" s="67"/>
      <c r="X104" s="67"/>
    </row>
    <row r="105">
      <c r="A105" s="40"/>
      <c r="B105" s="7">
        <v>23.0</v>
      </c>
      <c r="C105" s="7">
        <f t="shared" si="3"/>
        <v>104</v>
      </c>
      <c r="D105" s="7"/>
      <c r="U105" s="67"/>
      <c r="V105" s="67"/>
      <c r="W105" s="67"/>
      <c r="X105" s="67"/>
    </row>
    <row r="106">
      <c r="A106" s="40"/>
      <c r="B106" s="7">
        <v>23.0</v>
      </c>
      <c r="C106" s="7">
        <f t="shared" si="3"/>
        <v>105</v>
      </c>
      <c r="D106" s="7"/>
      <c r="U106" s="67"/>
      <c r="V106" s="67"/>
      <c r="W106" s="67"/>
      <c r="X106" s="67"/>
    </row>
    <row r="107">
      <c r="A107" s="40"/>
      <c r="B107" s="7">
        <v>23.0</v>
      </c>
      <c r="C107" s="7">
        <f t="shared" si="3"/>
        <v>106</v>
      </c>
      <c r="D107" s="7"/>
      <c r="U107" s="67"/>
      <c r="V107" s="67"/>
      <c r="W107" s="67"/>
      <c r="X107" s="67"/>
    </row>
    <row r="108">
      <c r="A108" s="40"/>
      <c r="B108" s="7">
        <v>23.0</v>
      </c>
      <c r="C108" s="7">
        <f t="shared" si="3"/>
        <v>107</v>
      </c>
      <c r="D108" s="7"/>
      <c r="U108" s="67"/>
      <c r="V108" s="67"/>
      <c r="W108" s="67"/>
      <c r="X108" s="67"/>
    </row>
    <row r="109">
      <c r="A109" s="40"/>
      <c r="B109" s="7">
        <v>23.0</v>
      </c>
      <c r="C109" s="7">
        <f t="shared" si="3"/>
        <v>108</v>
      </c>
      <c r="D109" s="7"/>
      <c r="U109" s="67"/>
      <c r="V109" s="67"/>
      <c r="W109" s="67"/>
      <c r="X109" s="67"/>
    </row>
    <row r="110">
      <c r="A110" s="40"/>
      <c r="B110" s="7">
        <v>23.0</v>
      </c>
      <c r="C110" s="7">
        <f t="shared" si="3"/>
        <v>109</v>
      </c>
      <c r="D110" s="7"/>
      <c r="U110" s="67"/>
      <c r="V110" s="67"/>
      <c r="W110" s="67"/>
      <c r="X110" s="67"/>
    </row>
    <row r="111">
      <c r="A111" s="40"/>
      <c r="B111" s="7">
        <v>23.0</v>
      </c>
      <c r="C111" s="7">
        <f t="shared" si="3"/>
        <v>110</v>
      </c>
      <c r="D111" s="7"/>
      <c r="U111" s="67"/>
      <c r="V111" s="67"/>
      <c r="W111" s="67"/>
      <c r="X111" s="67"/>
    </row>
    <row r="112">
      <c r="A112" s="40"/>
      <c r="B112" s="7">
        <v>23.0</v>
      </c>
      <c r="C112" s="7">
        <f t="shared" si="3"/>
        <v>111</v>
      </c>
      <c r="D112" s="7"/>
      <c r="U112" s="67"/>
      <c r="V112" s="67"/>
      <c r="W112" s="67"/>
      <c r="X112" s="67"/>
    </row>
    <row r="113">
      <c r="A113" s="40"/>
      <c r="B113" s="7">
        <v>23.0</v>
      </c>
      <c r="C113" s="7">
        <f t="shared" si="3"/>
        <v>112</v>
      </c>
      <c r="D113" s="7"/>
      <c r="U113" s="67"/>
      <c r="V113" s="67"/>
      <c r="W113" s="67"/>
      <c r="X113" s="67"/>
    </row>
    <row r="114">
      <c r="A114" s="40"/>
      <c r="B114" s="7">
        <v>23.0</v>
      </c>
      <c r="C114" s="7">
        <f t="shared" si="3"/>
        <v>113</v>
      </c>
      <c r="D114" s="7"/>
      <c r="U114" s="67"/>
      <c r="V114" s="67"/>
      <c r="W114" s="67"/>
      <c r="X114" s="67"/>
    </row>
    <row r="115">
      <c r="A115" s="40"/>
      <c r="B115" s="7">
        <v>23.0</v>
      </c>
      <c r="C115" s="7">
        <f t="shared" si="3"/>
        <v>114</v>
      </c>
      <c r="D115" s="7"/>
      <c r="U115" s="67"/>
      <c r="V115" s="67"/>
      <c r="W115" s="67"/>
      <c r="X115" s="67"/>
    </row>
    <row r="116">
      <c r="A116" s="40"/>
      <c r="B116" s="7">
        <v>23.0</v>
      </c>
      <c r="C116" s="7">
        <f t="shared" si="3"/>
        <v>115</v>
      </c>
      <c r="D116" s="7"/>
      <c r="U116" s="67"/>
      <c r="V116" s="67"/>
      <c r="W116" s="67"/>
      <c r="X116" s="67"/>
    </row>
    <row r="117">
      <c r="A117" s="40"/>
      <c r="B117" s="7">
        <v>23.0</v>
      </c>
      <c r="C117" s="7">
        <f t="shared" si="3"/>
        <v>116</v>
      </c>
      <c r="D117" s="7"/>
      <c r="U117" s="67"/>
      <c r="V117" s="67"/>
      <c r="W117" s="67"/>
      <c r="X117" s="67"/>
    </row>
    <row r="118">
      <c r="A118" s="40"/>
      <c r="B118" s="7">
        <v>23.0</v>
      </c>
      <c r="C118" s="7">
        <f t="shared" si="3"/>
        <v>117</v>
      </c>
      <c r="D118" s="7"/>
      <c r="U118" s="67"/>
      <c r="V118" s="67"/>
      <c r="W118" s="67"/>
      <c r="X118" s="67"/>
    </row>
    <row r="119">
      <c r="A119" s="40"/>
      <c r="B119" s="7">
        <v>23.0</v>
      </c>
      <c r="C119" s="7">
        <f t="shared" si="3"/>
        <v>118</v>
      </c>
      <c r="D119" s="7"/>
      <c r="U119" s="67"/>
      <c r="V119" s="67"/>
      <c r="W119" s="67"/>
      <c r="X119" s="67"/>
    </row>
    <row r="120">
      <c r="A120" s="40"/>
      <c r="B120" s="7">
        <v>23.0</v>
      </c>
      <c r="C120" s="7">
        <f t="shared" si="3"/>
        <v>119</v>
      </c>
      <c r="D120" s="7"/>
      <c r="U120" s="67"/>
      <c r="V120" s="67"/>
      <c r="W120" s="67"/>
      <c r="X120" s="67"/>
    </row>
    <row r="121">
      <c r="A121" s="40"/>
      <c r="B121" s="7">
        <v>23.0</v>
      </c>
      <c r="C121" s="7">
        <f t="shared" si="3"/>
        <v>120</v>
      </c>
      <c r="D121" s="7"/>
      <c r="U121" s="67"/>
      <c r="V121" s="67"/>
      <c r="W121" s="67"/>
      <c r="X121" s="67"/>
    </row>
    <row r="122">
      <c r="A122" s="40"/>
      <c r="B122" s="7">
        <v>23.0</v>
      </c>
      <c r="C122" s="7">
        <f t="shared" si="3"/>
        <v>121</v>
      </c>
      <c r="D122" s="7"/>
      <c r="U122" s="67"/>
      <c r="V122" s="67"/>
      <c r="W122" s="67"/>
      <c r="X122" s="67"/>
    </row>
    <row r="123">
      <c r="A123" s="40"/>
      <c r="B123" s="7">
        <v>23.0</v>
      </c>
      <c r="C123" s="7">
        <f t="shared" si="3"/>
        <v>122</v>
      </c>
      <c r="D123" s="7"/>
      <c r="U123" s="67"/>
      <c r="V123" s="67"/>
      <c r="W123" s="67"/>
      <c r="X123" s="67"/>
    </row>
    <row r="124">
      <c r="A124" s="40"/>
      <c r="B124" s="7">
        <v>23.0</v>
      </c>
      <c r="C124" s="7">
        <f t="shared" si="3"/>
        <v>123</v>
      </c>
      <c r="D124" s="7"/>
      <c r="U124" s="67"/>
      <c r="V124" s="67"/>
      <c r="W124" s="67"/>
      <c r="X124" s="67"/>
    </row>
    <row r="125">
      <c r="A125" s="40"/>
      <c r="B125" s="7">
        <v>23.0</v>
      </c>
      <c r="C125" s="7">
        <f t="shared" si="3"/>
        <v>124</v>
      </c>
      <c r="D125" s="7"/>
      <c r="U125" s="67"/>
      <c r="V125" s="67"/>
      <c r="W125" s="67"/>
      <c r="X125" s="67"/>
    </row>
    <row r="126">
      <c r="A126" s="40"/>
      <c r="B126" s="7">
        <v>23.0</v>
      </c>
      <c r="C126" s="7">
        <f t="shared" si="3"/>
        <v>125</v>
      </c>
      <c r="D126" s="7"/>
      <c r="U126" s="67"/>
      <c r="V126" s="67"/>
      <c r="W126" s="67"/>
      <c r="X126" s="67"/>
    </row>
    <row r="127">
      <c r="A127" s="40"/>
      <c r="B127" s="7">
        <v>23.0</v>
      </c>
      <c r="C127" s="7">
        <f t="shared" si="3"/>
        <v>126</v>
      </c>
      <c r="D127" s="7"/>
      <c r="U127" s="67"/>
      <c r="V127" s="67"/>
      <c r="W127" s="67"/>
      <c r="X127" s="67"/>
    </row>
    <row r="128">
      <c r="A128" s="40"/>
      <c r="B128" s="7">
        <v>23.0</v>
      </c>
      <c r="C128" s="7">
        <f t="shared" si="3"/>
        <v>127</v>
      </c>
      <c r="D128" s="7"/>
      <c r="U128" s="67"/>
      <c r="V128" s="67"/>
      <c r="W128" s="67"/>
      <c r="X128" s="67"/>
    </row>
    <row r="129">
      <c r="A129" s="40"/>
      <c r="B129" s="7">
        <v>23.0</v>
      </c>
      <c r="C129" s="7">
        <f t="shared" si="3"/>
        <v>128</v>
      </c>
      <c r="D129" s="7"/>
      <c r="U129" s="67"/>
      <c r="V129" s="67"/>
      <c r="W129" s="67"/>
      <c r="X129" s="67"/>
    </row>
    <row r="130">
      <c r="A130" s="62" t="s">
        <v>242</v>
      </c>
      <c r="B130" s="49">
        <v>24.0</v>
      </c>
      <c r="C130" s="49">
        <v>366.0</v>
      </c>
      <c r="D130" s="49"/>
      <c r="U130" s="67"/>
      <c r="V130" s="67"/>
      <c r="W130" s="67"/>
      <c r="X130" s="67"/>
    </row>
    <row r="131">
      <c r="U131" s="67"/>
      <c r="V131" s="67"/>
      <c r="W131" s="67"/>
      <c r="X131" s="67"/>
    </row>
    <row r="132">
      <c r="U132" s="67"/>
      <c r="V132" s="67"/>
      <c r="W132" s="67"/>
      <c r="X132" s="67"/>
    </row>
    <row r="133">
      <c r="U133" s="67"/>
      <c r="V133" s="67"/>
      <c r="W133" s="67"/>
      <c r="X133" s="67"/>
    </row>
    <row r="134">
      <c r="U134" s="67"/>
      <c r="V134" s="67"/>
      <c r="W134" s="67"/>
      <c r="X134" s="67"/>
    </row>
    <row r="135">
      <c r="U135" s="67"/>
      <c r="V135" s="67"/>
      <c r="W135" s="67"/>
      <c r="X135" s="67"/>
    </row>
    <row r="136">
      <c r="U136" s="67"/>
      <c r="V136" s="67"/>
      <c r="W136" s="67"/>
      <c r="X136" s="67"/>
    </row>
    <row r="137">
      <c r="U137" s="67"/>
      <c r="V137" s="67"/>
      <c r="W137" s="67"/>
      <c r="X137" s="67"/>
    </row>
    <row r="138">
      <c r="U138" s="67"/>
      <c r="V138" s="67"/>
      <c r="W138" s="67"/>
      <c r="X138" s="67"/>
    </row>
    <row r="139">
      <c r="U139" s="67"/>
      <c r="V139" s="67"/>
      <c r="W139" s="67"/>
      <c r="X139" s="67"/>
    </row>
    <row r="140">
      <c r="U140" s="67"/>
      <c r="V140" s="67"/>
      <c r="W140" s="67"/>
      <c r="X140" s="67"/>
    </row>
    <row r="141">
      <c r="U141" s="67"/>
      <c r="V141" s="67"/>
      <c r="W141" s="67"/>
      <c r="X141" s="67"/>
    </row>
    <row r="142">
      <c r="U142" s="67"/>
      <c r="V142" s="67"/>
      <c r="W142" s="67"/>
      <c r="X142" s="67"/>
    </row>
    <row r="143">
      <c r="U143" s="67"/>
      <c r="V143" s="67"/>
      <c r="W143" s="67"/>
      <c r="X143" s="67"/>
    </row>
    <row r="144">
      <c r="U144" s="67"/>
      <c r="V144" s="67"/>
      <c r="W144" s="67"/>
      <c r="X144" s="67"/>
    </row>
    <row r="145">
      <c r="U145" s="67"/>
      <c r="V145" s="67"/>
      <c r="W145" s="67"/>
      <c r="X145" s="67"/>
    </row>
    <row r="146">
      <c r="U146" s="67"/>
      <c r="V146" s="67"/>
      <c r="W146" s="67"/>
      <c r="X146" s="67"/>
    </row>
    <row r="147">
      <c r="U147" s="67"/>
      <c r="V147" s="67"/>
      <c r="W147" s="67"/>
      <c r="X147" s="67"/>
    </row>
    <row r="148">
      <c r="U148" s="67"/>
      <c r="V148" s="67"/>
      <c r="W148" s="67"/>
      <c r="X148" s="67"/>
    </row>
    <row r="149">
      <c r="U149" s="67"/>
      <c r="V149" s="67"/>
      <c r="W149" s="67"/>
      <c r="X149" s="67"/>
    </row>
    <row r="150">
      <c r="U150" s="67"/>
      <c r="V150" s="67"/>
      <c r="W150" s="67"/>
      <c r="X150" s="67"/>
    </row>
    <row r="151">
      <c r="U151" s="67"/>
      <c r="V151" s="67"/>
      <c r="W151" s="67"/>
      <c r="X151" s="67"/>
    </row>
    <row r="152">
      <c r="U152" s="67"/>
      <c r="V152" s="67"/>
      <c r="W152" s="67"/>
      <c r="X152" s="67"/>
    </row>
    <row r="153">
      <c r="U153" s="67"/>
      <c r="V153" s="67"/>
      <c r="W153" s="67"/>
      <c r="X153" s="67"/>
    </row>
    <row r="154">
      <c r="U154" s="67"/>
      <c r="V154" s="67"/>
      <c r="W154" s="67"/>
      <c r="X154" s="67"/>
    </row>
    <row r="155">
      <c r="U155" s="67"/>
      <c r="V155" s="67"/>
      <c r="W155" s="67"/>
      <c r="X155" s="67"/>
    </row>
    <row r="156">
      <c r="U156" s="67"/>
      <c r="V156" s="67"/>
      <c r="W156" s="67"/>
      <c r="X156" s="67"/>
    </row>
    <row r="157">
      <c r="U157" s="67"/>
      <c r="V157" s="67"/>
      <c r="W157" s="67"/>
      <c r="X157" s="67"/>
    </row>
    <row r="158">
      <c r="U158" s="67"/>
      <c r="V158" s="67"/>
      <c r="W158" s="67"/>
      <c r="X158" s="67"/>
    </row>
    <row r="159">
      <c r="U159" s="67"/>
      <c r="V159" s="67"/>
      <c r="W159" s="67"/>
      <c r="X159" s="67"/>
    </row>
    <row r="160">
      <c r="U160" s="67"/>
      <c r="V160" s="67"/>
      <c r="W160" s="67"/>
      <c r="X160" s="67"/>
    </row>
    <row r="161">
      <c r="U161" s="67"/>
      <c r="V161" s="67"/>
      <c r="W161" s="67"/>
      <c r="X161" s="67"/>
    </row>
    <row r="162">
      <c r="U162" s="67"/>
      <c r="V162" s="67"/>
      <c r="W162" s="67"/>
      <c r="X162" s="67"/>
    </row>
    <row r="163">
      <c r="U163" s="67"/>
      <c r="V163" s="67"/>
      <c r="W163" s="67"/>
      <c r="X163" s="67"/>
    </row>
    <row r="164">
      <c r="U164" s="67"/>
      <c r="V164" s="67"/>
      <c r="W164" s="67"/>
      <c r="X164" s="67"/>
    </row>
    <row r="165">
      <c r="U165" s="67"/>
      <c r="V165" s="67"/>
      <c r="W165" s="67"/>
      <c r="X165" s="67"/>
    </row>
    <row r="166">
      <c r="U166" s="67"/>
      <c r="V166" s="67"/>
      <c r="W166" s="67"/>
      <c r="X166" s="67"/>
    </row>
    <row r="167">
      <c r="U167" s="67"/>
      <c r="V167" s="67"/>
      <c r="W167" s="67"/>
      <c r="X167" s="67"/>
    </row>
    <row r="168">
      <c r="U168" s="67"/>
      <c r="V168" s="67"/>
      <c r="W168" s="67"/>
      <c r="X168" s="67"/>
    </row>
    <row r="169">
      <c r="U169" s="67"/>
      <c r="V169" s="67"/>
      <c r="W169" s="67"/>
      <c r="X169" s="67"/>
    </row>
    <row r="170">
      <c r="U170" s="67"/>
      <c r="V170" s="67"/>
      <c r="W170" s="67"/>
      <c r="X170" s="67"/>
    </row>
    <row r="171">
      <c r="U171" s="67"/>
      <c r="V171" s="67"/>
      <c r="W171" s="67"/>
      <c r="X171" s="67"/>
    </row>
    <row r="172">
      <c r="U172" s="67"/>
      <c r="V172" s="67"/>
      <c r="W172" s="67"/>
      <c r="X172" s="67"/>
    </row>
    <row r="173">
      <c r="U173" s="67"/>
      <c r="V173" s="67"/>
      <c r="W173" s="67"/>
      <c r="X173" s="67"/>
    </row>
    <row r="174">
      <c r="U174" s="67"/>
      <c r="V174" s="67"/>
      <c r="W174" s="67"/>
      <c r="X174" s="67"/>
    </row>
    <row r="175">
      <c r="U175" s="67"/>
      <c r="V175" s="67"/>
      <c r="W175" s="67"/>
      <c r="X175" s="67"/>
    </row>
    <row r="176">
      <c r="U176" s="67"/>
      <c r="V176" s="67"/>
      <c r="W176" s="67"/>
      <c r="X176" s="67"/>
    </row>
    <row r="177">
      <c r="U177" s="67"/>
      <c r="V177" s="67"/>
      <c r="W177" s="67"/>
      <c r="X177" s="67"/>
    </row>
    <row r="178">
      <c r="U178" s="67"/>
      <c r="V178" s="67"/>
      <c r="W178" s="67"/>
      <c r="X178" s="67"/>
    </row>
    <row r="179">
      <c r="U179" s="67"/>
      <c r="V179" s="67"/>
      <c r="W179" s="67"/>
      <c r="X179" s="67"/>
    </row>
    <row r="180">
      <c r="U180" s="67"/>
      <c r="V180" s="67"/>
      <c r="W180" s="67"/>
      <c r="X180" s="67"/>
    </row>
    <row r="181">
      <c r="U181" s="67"/>
      <c r="V181" s="67"/>
      <c r="W181" s="67"/>
      <c r="X181" s="67"/>
    </row>
    <row r="182">
      <c r="U182" s="67"/>
      <c r="V182" s="67"/>
      <c r="W182" s="67"/>
      <c r="X182" s="67"/>
    </row>
    <row r="183">
      <c r="U183" s="67"/>
      <c r="V183" s="67"/>
      <c r="W183" s="67"/>
      <c r="X183" s="67"/>
    </row>
    <row r="184">
      <c r="U184" s="67"/>
      <c r="V184" s="67"/>
      <c r="W184" s="67"/>
      <c r="X184" s="67"/>
    </row>
    <row r="185">
      <c r="U185" s="67"/>
      <c r="V185" s="67"/>
      <c r="W185" s="67"/>
      <c r="X185" s="67"/>
    </row>
    <row r="186">
      <c r="U186" s="67"/>
      <c r="V186" s="67"/>
      <c r="W186" s="67"/>
      <c r="X186" s="67"/>
    </row>
    <row r="187">
      <c r="U187" s="67"/>
      <c r="V187" s="67"/>
      <c r="W187" s="67"/>
      <c r="X187" s="67"/>
    </row>
    <row r="188">
      <c r="U188" s="67"/>
      <c r="V188" s="67"/>
      <c r="W188" s="67"/>
      <c r="X188" s="67"/>
    </row>
    <row r="189">
      <c r="U189" s="67"/>
      <c r="V189" s="67"/>
      <c r="W189" s="67"/>
      <c r="X189" s="67"/>
    </row>
    <row r="190">
      <c r="U190" s="67"/>
      <c r="V190" s="67"/>
      <c r="W190" s="67"/>
      <c r="X190" s="67"/>
    </row>
    <row r="191">
      <c r="U191" s="67"/>
      <c r="V191" s="67"/>
      <c r="W191" s="67"/>
      <c r="X191" s="67"/>
    </row>
    <row r="192">
      <c r="U192" s="67"/>
      <c r="V192" s="67"/>
      <c r="W192" s="67"/>
      <c r="X192" s="67"/>
    </row>
    <row r="193">
      <c r="U193" s="67"/>
      <c r="V193" s="67"/>
      <c r="W193" s="67"/>
      <c r="X193" s="67"/>
    </row>
    <row r="194">
      <c r="U194" s="67"/>
      <c r="V194" s="67"/>
      <c r="W194" s="67"/>
      <c r="X194" s="67"/>
    </row>
    <row r="195">
      <c r="U195" s="67"/>
      <c r="V195" s="67"/>
      <c r="W195" s="67"/>
      <c r="X195" s="67"/>
    </row>
    <row r="196">
      <c r="U196" s="67"/>
      <c r="V196" s="67"/>
      <c r="W196" s="67"/>
      <c r="X196" s="67"/>
    </row>
    <row r="197">
      <c r="U197" s="67"/>
      <c r="V197" s="67"/>
      <c r="W197" s="67"/>
      <c r="X197" s="67"/>
    </row>
    <row r="198">
      <c r="U198" s="67"/>
      <c r="V198" s="67"/>
      <c r="W198" s="67"/>
      <c r="X198" s="67"/>
    </row>
    <row r="199">
      <c r="U199" s="67"/>
      <c r="V199" s="67"/>
      <c r="W199" s="67"/>
      <c r="X199" s="67"/>
    </row>
    <row r="200">
      <c r="U200" s="67"/>
      <c r="V200" s="67"/>
      <c r="W200" s="67"/>
      <c r="X200" s="67"/>
    </row>
    <row r="201">
      <c r="U201" s="67"/>
      <c r="V201" s="67"/>
      <c r="W201" s="67"/>
      <c r="X201" s="67"/>
    </row>
    <row r="202">
      <c r="U202" s="67"/>
      <c r="V202" s="67"/>
      <c r="W202" s="67"/>
      <c r="X202" s="67"/>
    </row>
    <row r="203">
      <c r="U203" s="67"/>
      <c r="V203" s="67"/>
      <c r="W203" s="67"/>
      <c r="X203" s="67"/>
    </row>
    <row r="204">
      <c r="U204" s="67"/>
      <c r="V204" s="67"/>
      <c r="W204" s="67"/>
      <c r="X204" s="67"/>
    </row>
    <row r="205">
      <c r="U205" s="67"/>
      <c r="V205" s="67"/>
      <c r="W205" s="67"/>
      <c r="X205" s="67"/>
    </row>
    <row r="206">
      <c r="U206" s="67"/>
      <c r="V206" s="67"/>
      <c r="W206" s="67"/>
      <c r="X206" s="67"/>
    </row>
    <row r="207">
      <c r="U207" s="67"/>
      <c r="V207" s="67"/>
      <c r="W207" s="67"/>
      <c r="X207" s="67"/>
    </row>
    <row r="208">
      <c r="U208" s="67"/>
      <c r="V208" s="67"/>
      <c r="W208" s="67"/>
      <c r="X208" s="67"/>
    </row>
    <row r="209">
      <c r="U209" s="67"/>
      <c r="V209" s="67"/>
      <c r="W209" s="67"/>
      <c r="X209" s="67"/>
    </row>
    <row r="210">
      <c r="U210" s="67"/>
      <c r="V210" s="67"/>
      <c r="W210" s="67"/>
      <c r="X210" s="67"/>
    </row>
    <row r="211">
      <c r="U211" s="67"/>
      <c r="V211" s="67"/>
      <c r="W211" s="67"/>
      <c r="X211" s="67"/>
    </row>
    <row r="212">
      <c r="U212" s="67"/>
      <c r="V212" s="67"/>
      <c r="W212" s="67"/>
      <c r="X212" s="67"/>
    </row>
    <row r="213">
      <c r="U213" s="67"/>
      <c r="V213" s="67"/>
      <c r="W213" s="67"/>
      <c r="X213" s="67"/>
    </row>
    <row r="214">
      <c r="U214" s="67"/>
      <c r="V214" s="67"/>
      <c r="W214" s="67"/>
      <c r="X214" s="67"/>
    </row>
    <row r="215">
      <c r="U215" s="67"/>
      <c r="V215" s="67"/>
      <c r="W215" s="67"/>
      <c r="X215" s="67"/>
    </row>
    <row r="216">
      <c r="U216" s="67"/>
      <c r="V216" s="67"/>
      <c r="W216" s="67"/>
      <c r="X216" s="67"/>
    </row>
    <row r="217">
      <c r="U217" s="67"/>
      <c r="V217" s="67"/>
      <c r="W217" s="67"/>
      <c r="X217" s="67"/>
    </row>
    <row r="218">
      <c r="U218" s="67"/>
      <c r="V218" s="67"/>
      <c r="W218" s="67"/>
      <c r="X218" s="67"/>
    </row>
    <row r="219">
      <c r="U219" s="67"/>
      <c r="V219" s="67"/>
      <c r="W219" s="67"/>
      <c r="X219" s="67"/>
    </row>
    <row r="220">
      <c r="U220" s="67"/>
      <c r="V220" s="67"/>
      <c r="W220" s="67"/>
      <c r="X220" s="67"/>
    </row>
    <row r="221">
      <c r="U221" s="67"/>
      <c r="V221" s="67"/>
      <c r="W221" s="67"/>
      <c r="X221" s="67"/>
    </row>
    <row r="222">
      <c r="U222" s="67"/>
      <c r="V222" s="67"/>
      <c r="W222" s="67"/>
      <c r="X222" s="67"/>
    </row>
    <row r="223">
      <c r="U223" s="67"/>
      <c r="V223" s="67"/>
      <c r="W223" s="67"/>
      <c r="X223" s="67"/>
    </row>
    <row r="224">
      <c r="U224" s="67"/>
      <c r="V224" s="67"/>
      <c r="W224" s="67"/>
      <c r="X224" s="67"/>
    </row>
    <row r="225">
      <c r="U225" s="67"/>
      <c r="V225" s="67"/>
      <c r="W225" s="67"/>
      <c r="X225" s="67"/>
    </row>
    <row r="226">
      <c r="U226" s="67"/>
      <c r="V226" s="67"/>
      <c r="W226" s="67"/>
      <c r="X226" s="67"/>
    </row>
    <row r="227">
      <c r="U227" s="67"/>
      <c r="V227" s="67"/>
      <c r="W227" s="67"/>
      <c r="X227" s="67"/>
    </row>
    <row r="228">
      <c r="U228" s="67"/>
      <c r="V228" s="67"/>
      <c r="W228" s="67"/>
      <c r="X228" s="67"/>
    </row>
    <row r="229">
      <c r="U229" s="67"/>
      <c r="V229" s="67"/>
      <c r="W229" s="67"/>
      <c r="X229" s="67"/>
    </row>
    <row r="230">
      <c r="U230" s="67"/>
      <c r="V230" s="67"/>
      <c r="W230" s="67"/>
      <c r="X230" s="67"/>
    </row>
    <row r="231">
      <c r="U231" s="67"/>
      <c r="V231" s="67"/>
      <c r="W231" s="67"/>
      <c r="X231" s="67"/>
    </row>
    <row r="232">
      <c r="U232" s="67"/>
      <c r="V232" s="67"/>
      <c r="W232" s="67"/>
      <c r="X232" s="67"/>
    </row>
    <row r="233">
      <c r="U233" s="67"/>
      <c r="V233" s="67"/>
      <c r="W233" s="67"/>
      <c r="X233" s="67"/>
    </row>
    <row r="234">
      <c r="U234" s="67"/>
      <c r="V234" s="67"/>
      <c r="W234" s="67"/>
      <c r="X234" s="67"/>
    </row>
    <row r="235">
      <c r="U235" s="67"/>
      <c r="V235" s="67"/>
      <c r="W235" s="67"/>
      <c r="X235" s="67"/>
    </row>
    <row r="236">
      <c r="U236" s="67"/>
      <c r="V236" s="67"/>
      <c r="W236" s="67"/>
      <c r="X236" s="67"/>
    </row>
    <row r="237">
      <c r="U237" s="67"/>
      <c r="V237" s="67"/>
      <c r="W237" s="67"/>
      <c r="X237" s="67"/>
    </row>
    <row r="238">
      <c r="U238" s="67"/>
      <c r="V238" s="67"/>
      <c r="W238" s="67"/>
      <c r="X238" s="67"/>
    </row>
    <row r="239">
      <c r="U239" s="67"/>
      <c r="V239" s="67"/>
      <c r="W239" s="67"/>
      <c r="X239" s="67"/>
    </row>
    <row r="240">
      <c r="U240" s="67"/>
      <c r="V240" s="67"/>
      <c r="W240" s="67"/>
      <c r="X240" s="67"/>
    </row>
    <row r="241">
      <c r="U241" s="67"/>
      <c r="V241" s="67"/>
      <c r="W241" s="67"/>
      <c r="X241" s="67"/>
    </row>
    <row r="242">
      <c r="U242" s="67"/>
      <c r="V242" s="67"/>
      <c r="W242" s="67"/>
      <c r="X242" s="67"/>
    </row>
    <row r="243">
      <c r="U243" s="67"/>
      <c r="V243" s="67"/>
      <c r="W243" s="67"/>
      <c r="X243" s="67"/>
    </row>
    <row r="244">
      <c r="U244" s="67"/>
      <c r="V244" s="67"/>
      <c r="W244" s="67"/>
      <c r="X244" s="67"/>
    </row>
    <row r="245">
      <c r="U245" s="67"/>
      <c r="V245" s="67"/>
      <c r="W245" s="67"/>
      <c r="X245" s="67"/>
    </row>
    <row r="246">
      <c r="U246" s="67"/>
      <c r="V246" s="67"/>
      <c r="W246" s="67"/>
      <c r="X246" s="67"/>
    </row>
    <row r="247">
      <c r="U247" s="67"/>
      <c r="V247" s="67"/>
      <c r="W247" s="67"/>
      <c r="X247" s="67"/>
    </row>
    <row r="248">
      <c r="U248" s="67"/>
      <c r="V248" s="67"/>
      <c r="W248" s="67"/>
      <c r="X248" s="67"/>
    </row>
    <row r="249">
      <c r="U249" s="67"/>
      <c r="V249" s="67"/>
      <c r="W249" s="67"/>
      <c r="X249" s="67"/>
    </row>
    <row r="250">
      <c r="U250" s="67"/>
      <c r="V250" s="67"/>
      <c r="W250" s="67"/>
      <c r="X250" s="67"/>
    </row>
    <row r="251">
      <c r="U251" s="67"/>
      <c r="V251" s="67"/>
      <c r="W251" s="67"/>
      <c r="X251" s="67"/>
    </row>
    <row r="252">
      <c r="U252" s="67"/>
      <c r="V252" s="67"/>
      <c r="W252" s="67"/>
      <c r="X252" s="67"/>
    </row>
    <row r="253">
      <c r="U253" s="67"/>
      <c r="V253" s="67"/>
      <c r="W253" s="67"/>
      <c r="X253" s="67"/>
    </row>
    <row r="254">
      <c r="U254" s="67"/>
      <c r="V254" s="67"/>
      <c r="W254" s="67"/>
      <c r="X254" s="67"/>
    </row>
    <row r="255">
      <c r="U255" s="67"/>
      <c r="V255" s="67"/>
      <c r="W255" s="67"/>
      <c r="X255" s="67"/>
    </row>
    <row r="256">
      <c r="U256" s="67"/>
      <c r="V256" s="67"/>
      <c r="W256" s="67"/>
      <c r="X256" s="67"/>
    </row>
    <row r="257">
      <c r="U257" s="67"/>
      <c r="V257" s="67"/>
      <c r="W257" s="67"/>
      <c r="X257" s="67"/>
    </row>
    <row r="258">
      <c r="U258" s="67"/>
      <c r="V258" s="67"/>
      <c r="W258" s="67"/>
      <c r="X258" s="67"/>
    </row>
    <row r="259">
      <c r="U259" s="67"/>
      <c r="V259" s="67"/>
      <c r="W259" s="67"/>
      <c r="X259" s="67"/>
    </row>
    <row r="260">
      <c r="U260" s="67"/>
      <c r="V260" s="67"/>
      <c r="W260" s="67"/>
      <c r="X260" s="67"/>
    </row>
    <row r="261">
      <c r="U261" s="67"/>
      <c r="V261" s="67"/>
      <c r="W261" s="67"/>
      <c r="X261" s="67"/>
    </row>
    <row r="262">
      <c r="U262" s="67"/>
      <c r="V262" s="67"/>
      <c r="W262" s="67"/>
      <c r="X262" s="67"/>
    </row>
    <row r="263">
      <c r="U263" s="67"/>
      <c r="V263" s="67"/>
      <c r="W263" s="67"/>
      <c r="X263" s="67"/>
    </row>
    <row r="264">
      <c r="U264" s="67"/>
      <c r="V264" s="67"/>
      <c r="W264" s="67"/>
      <c r="X264" s="67"/>
    </row>
    <row r="265">
      <c r="U265" s="67"/>
      <c r="V265" s="67"/>
      <c r="W265" s="67"/>
      <c r="X265" s="67"/>
    </row>
    <row r="266">
      <c r="U266" s="67"/>
      <c r="V266" s="67"/>
      <c r="W266" s="67"/>
      <c r="X266" s="67"/>
    </row>
    <row r="267">
      <c r="U267" s="67"/>
      <c r="V267" s="67"/>
      <c r="W267" s="67"/>
      <c r="X267" s="67"/>
    </row>
    <row r="268">
      <c r="U268" s="67"/>
      <c r="V268" s="67"/>
      <c r="W268" s="67"/>
      <c r="X268" s="67"/>
    </row>
    <row r="269">
      <c r="U269" s="67"/>
      <c r="V269" s="67"/>
      <c r="W269" s="67"/>
      <c r="X269" s="67"/>
    </row>
    <row r="270">
      <c r="U270" s="67"/>
      <c r="V270" s="67"/>
      <c r="W270" s="67"/>
      <c r="X270" s="67"/>
    </row>
    <row r="271">
      <c r="U271" s="67"/>
      <c r="V271" s="67"/>
      <c r="W271" s="67"/>
      <c r="X271" s="67"/>
    </row>
    <row r="272">
      <c r="U272" s="67"/>
      <c r="V272" s="67"/>
      <c r="W272" s="67"/>
      <c r="X272" s="67"/>
    </row>
    <row r="273">
      <c r="U273" s="67"/>
      <c r="V273" s="67"/>
      <c r="W273" s="67"/>
      <c r="X273" s="67"/>
    </row>
    <row r="274">
      <c r="U274" s="67"/>
      <c r="V274" s="67"/>
      <c r="W274" s="67"/>
      <c r="X274" s="67"/>
    </row>
    <row r="275">
      <c r="U275" s="67"/>
      <c r="V275" s="67"/>
      <c r="W275" s="67"/>
      <c r="X275" s="67"/>
    </row>
    <row r="276">
      <c r="U276" s="67"/>
      <c r="V276" s="67"/>
      <c r="W276" s="67"/>
      <c r="X276" s="67"/>
    </row>
    <row r="277">
      <c r="U277" s="67"/>
      <c r="V277" s="67"/>
      <c r="W277" s="67"/>
      <c r="X277" s="67"/>
    </row>
    <row r="278">
      <c r="U278" s="67"/>
      <c r="V278" s="67"/>
      <c r="W278" s="67"/>
      <c r="X278" s="67"/>
    </row>
    <row r="279">
      <c r="U279" s="67"/>
      <c r="V279" s="67"/>
      <c r="W279" s="67"/>
      <c r="X279" s="67"/>
    </row>
    <row r="280">
      <c r="U280" s="67"/>
      <c r="V280" s="67"/>
      <c r="W280" s="67"/>
      <c r="X280" s="67"/>
    </row>
    <row r="281">
      <c r="U281" s="67"/>
      <c r="V281" s="67"/>
      <c r="W281" s="67"/>
      <c r="X281" s="67"/>
    </row>
    <row r="282">
      <c r="U282" s="67"/>
      <c r="V282" s="67"/>
      <c r="W282" s="67"/>
      <c r="X282" s="67"/>
    </row>
    <row r="283">
      <c r="U283" s="67"/>
      <c r="V283" s="67"/>
      <c r="W283" s="67"/>
      <c r="X283" s="67"/>
    </row>
    <row r="284">
      <c r="U284" s="67"/>
      <c r="V284" s="67"/>
      <c r="W284" s="67"/>
      <c r="X284" s="67"/>
    </row>
    <row r="285">
      <c r="U285" s="67"/>
      <c r="V285" s="67"/>
      <c r="W285" s="67"/>
      <c r="X285" s="67"/>
    </row>
    <row r="286">
      <c r="U286" s="67"/>
      <c r="V286" s="67"/>
      <c r="W286" s="67"/>
      <c r="X286" s="67"/>
    </row>
    <row r="287">
      <c r="U287" s="67"/>
      <c r="V287" s="67"/>
      <c r="W287" s="67"/>
      <c r="X287" s="67"/>
    </row>
    <row r="288">
      <c r="U288" s="67"/>
      <c r="V288" s="67"/>
      <c r="W288" s="67"/>
      <c r="X288" s="67"/>
    </row>
    <row r="289">
      <c r="U289" s="67"/>
      <c r="V289" s="67"/>
      <c r="W289" s="67"/>
      <c r="X289" s="67"/>
    </row>
    <row r="290">
      <c r="U290" s="67"/>
      <c r="V290" s="67"/>
      <c r="W290" s="67"/>
      <c r="X290" s="67"/>
    </row>
    <row r="291">
      <c r="U291" s="67"/>
      <c r="V291" s="67"/>
      <c r="W291" s="67"/>
      <c r="X291" s="67"/>
    </row>
    <row r="292">
      <c r="U292" s="67"/>
      <c r="V292" s="67"/>
      <c r="W292" s="67"/>
      <c r="X292" s="67"/>
    </row>
    <row r="293">
      <c r="U293" s="67"/>
      <c r="V293" s="67"/>
      <c r="W293" s="67"/>
      <c r="X293" s="67"/>
    </row>
    <row r="294">
      <c r="U294" s="67"/>
      <c r="V294" s="67"/>
      <c r="W294" s="67"/>
      <c r="X294" s="67"/>
    </row>
    <row r="295">
      <c r="U295" s="67"/>
      <c r="V295" s="67"/>
      <c r="W295" s="67"/>
      <c r="X295" s="67"/>
    </row>
    <row r="296">
      <c r="U296" s="67"/>
      <c r="V296" s="67"/>
      <c r="W296" s="67"/>
      <c r="X296" s="67"/>
    </row>
    <row r="297">
      <c r="U297" s="67"/>
      <c r="V297" s="67"/>
      <c r="W297" s="67"/>
      <c r="X297" s="67"/>
    </row>
    <row r="298">
      <c r="U298" s="67"/>
      <c r="V298" s="67"/>
      <c r="W298" s="67"/>
      <c r="X298" s="67"/>
    </row>
    <row r="299">
      <c r="U299" s="67"/>
      <c r="V299" s="67"/>
      <c r="W299" s="67"/>
      <c r="X299" s="67"/>
    </row>
    <row r="300">
      <c r="U300" s="67"/>
      <c r="V300" s="67"/>
      <c r="W300" s="67"/>
      <c r="X300" s="67"/>
    </row>
    <row r="301">
      <c r="U301" s="67"/>
      <c r="V301" s="67"/>
      <c r="W301" s="67"/>
      <c r="X301" s="67"/>
    </row>
    <row r="302">
      <c r="U302" s="67"/>
      <c r="V302" s="67"/>
      <c r="W302" s="67"/>
      <c r="X302" s="67"/>
    </row>
    <row r="303">
      <c r="U303" s="67"/>
      <c r="V303" s="67"/>
      <c r="W303" s="67"/>
      <c r="X303" s="67"/>
    </row>
    <row r="304">
      <c r="U304" s="67"/>
      <c r="V304" s="67"/>
      <c r="W304" s="67"/>
      <c r="X304" s="67"/>
    </row>
    <row r="305">
      <c r="U305" s="67"/>
      <c r="V305" s="67"/>
      <c r="W305" s="67"/>
      <c r="X305" s="67"/>
    </row>
    <row r="306">
      <c r="U306" s="67"/>
      <c r="V306" s="67"/>
      <c r="W306" s="67"/>
      <c r="X306" s="67"/>
    </row>
    <row r="307">
      <c r="U307" s="67"/>
      <c r="V307" s="67"/>
      <c r="W307" s="67"/>
      <c r="X307" s="67"/>
    </row>
    <row r="308">
      <c r="U308" s="67"/>
      <c r="V308" s="67"/>
      <c r="W308" s="67"/>
      <c r="X308" s="67"/>
    </row>
    <row r="309">
      <c r="U309" s="67"/>
      <c r="V309" s="67"/>
      <c r="W309" s="67"/>
      <c r="X309" s="67"/>
    </row>
    <row r="310">
      <c r="U310" s="67"/>
      <c r="V310" s="67"/>
      <c r="W310" s="67"/>
      <c r="X310" s="67"/>
    </row>
    <row r="311">
      <c r="U311" s="67"/>
      <c r="V311" s="67"/>
      <c r="W311" s="67"/>
      <c r="X311" s="67"/>
    </row>
    <row r="312">
      <c r="U312" s="67"/>
      <c r="V312" s="67"/>
      <c r="W312" s="67"/>
      <c r="X312" s="67"/>
    </row>
    <row r="313">
      <c r="U313" s="67"/>
      <c r="V313" s="67"/>
      <c r="W313" s="67"/>
      <c r="X313" s="67"/>
    </row>
    <row r="314">
      <c r="U314" s="67"/>
      <c r="V314" s="67"/>
      <c r="W314" s="67"/>
      <c r="X314" s="67"/>
    </row>
    <row r="315">
      <c r="U315" s="67"/>
      <c r="V315" s="67"/>
      <c r="W315" s="67"/>
      <c r="X315" s="67"/>
    </row>
    <row r="316">
      <c r="U316" s="67"/>
      <c r="V316" s="67"/>
      <c r="W316" s="67"/>
      <c r="X316" s="67"/>
    </row>
    <row r="317">
      <c r="U317" s="67"/>
      <c r="V317" s="67"/>
      <c r="W317" s="67"/>
      <c r="X317" s="67"/>
    </row>
    <row r="318">
      <c r="U318" s="67"/>
      <c r="V318" s="67"/>
      <c r="W318" s="67"/>
      <c r="X318" s="67"/>
    </row>
    <row r="319">
      <c r="U319" s="67"/>
      <c r="V319" s="67"/>
      <c r="W319" s="67"/>
      <c r="X319" s="67"/>
    </row>
    <row r="320">
      <c r="U320" s="67"/>
      <c r="V320" s="67"/>
      <c r="W320" s="67"/>
      <c r="X320" s="67"/>
    </row>
    <row r="321">
      <c r="U321" s="67"/>
      <c r="V321" s="67"/>
      <c r="W321" s="67"/>
      <c r="X321" s="67"/>
    </row>
    <row r="322">
      <c r="U322" s="67"/>
      <c r="V322" s="67"/>
      <c r="W322" s="67"/>
      <c r="X322" s="67"/>
    </row>
    <row r="323">
      <c r="U323" s="67"/>
      <c r="V323" s="67"/>
      <c r="W323" s="67"/>
      <c r="X323" s="67"/>
    </row>
    <row r="324">
      <c r="U324" s="67"/>
      <c r="V324" s="67"/>
      <c r="W324" s="67"/>
      <c r="X324" s="67"/>
    </row>
    <row r="325">
      <c r="U325" s="67"/>
      <c r="V325" s="67"/>
      <c r="W325" s="67"/>
      <c r="X325" s="67"/>
    </row>
    <row r="326">
      <c r="U326" s="67"/>
      <c r="V326" s="67"/>
      <c r="W326" s="67"/>
      <c r="X326" s="67"/>
    </row>
    <row r="327">
      <c r="U327" s="67"/>
      <c r="V327" s="67"/>
      <c r="W327" s="67"/>
      <c r="X327" s="67"/>
    </row>
    <row r="328">
      <c r="U328" s="67"/>
      <c r="V328" s="67"/>
      <c r="W328" s="67"/>
      <c r="X328" s="67"/>
    </row>
    <row r="329">
      <c r="U329" s="67"/>
      <c r="V329" s="67"/>
      <c r="W329" s="67"/>
      <c r="X329" s="67"/>
    </row>
    <row r="330">
      <c r="U330" s="67"/>
      <c r="V330" s="67"/>
      <c r="W330" s="67"/>
      <c r="X330" s="67"/>
    </row>
    <row r="331">
      <c r="U331" s="67"/>
      <c r="V331" s="67"/>
      <c r="W331" s="67"/>
      <c r="X331" s="67"/>
    </row>
    <row r="332">
      <c r="U332" s="67"/>
      <c r="V332" s="67"/>
      <c r="W332" s="67"/>
      <c r="X332" s="67"/>
    </row>
    <row r="333">
      <c r="U333" s="67"/>
      <c r="V333" s="67"/>
      <c r="W333" s="67"/>
      <c r="X333" s="67"/>
    </row>
    <row r="334">
      <c r="U334" s="67"/>
      <c r="V334" s="67"/>
      <c r="W334" s="67"/>
      <c r="X334" s="67"/>
    </row>
    <row r="335">
      <c r="U335" s="67"/>
      <c r="V335" s="67"/>
      <c r="W335" s="67"/>
      <c r="X335" s="67"/>
    </row>
    <row r="336">
      <c r="U336" s="67"/>
      <c r="V336" s="67"/>
      <c r="W336" s="67"/>
      <c r="X336" s="67"/>
    </row>
    <row r="337">
      <c r="U337" s="67"/>
      <c r="V337" s="67"/>
      <c r="W337" s="67"/>
      <c r="X337" s="67"/>
    </row>
    <row r="338">
      <c r="U338" s="67"/>
      <c r="V338" s="67"/>
      <c r="W338" s="67"/>
      <c r="X338" s="67"/>
    </row>
    <row r="339">
      <c r="U339" s="67"/>
      <c r="V339" s="67"/>
      <c r="W339" s="67"/>
      <c r="X339" s="67"/>
    </row>
    <row r="340">
      <c r="U340" s="67"/>
      <c r="V340" s="67"/>
      <c r="W340" s="67"/>
      <c r="X340" s="67"/>
    </row>
    <row r="341">
      <c r="U341" s="67"/>
      <c r="V341" s="67"/>
      <c r="W341" s="67"/>
      <c r="X341" s="67"/>
    </row>
    <row r="342">
      <c r="U342" s="67"/>
      <c r="V342" s="67"/>
      <c r="W342" s="67"/>
      <c r="X342" s="67"/>
    </row>
    <row r="343">
      <c r="U343" s="67"/>
      <c r="V343" s="67"/>
      <c r="W343" s="67"/>
      <c r="X343" s="67"/>
    </row>
    <row r="344">
      <c r="U344" s="67"/>
      <c r="V344" s="67"/>
      <c r="W344" s="67"/>
      <c r="X344" s="67"/>
    </row>
    <row r="345">
      <c r="U345" s="67"/>
      <c r="V345" s="67"/>
      <c r="W345" s="67"/>
      <c r="X345" s="67"/>
    </row>
    <row r="346">
      <c r="U346" s="67"/>
      <c r="V346" s="67"/>
      <c r="W346" s="67"/>
      <c r="X346" s="67"/>
    </row>
    <row r="347">
      <c r="U347" s="67"/>
      <c r="V347" s="67"/>
      <c r="W347" s="67"/>
      <c r="X347" s="67"/>
    </row>
    <row r="348">
      <c r="U348" s="67"/>
      <c r="V348" s="67"/>
      <c r="W348" s="67"/>
      <c r="X348" s="67"/>
    </row>
    <row r="349">
      <c r="U349" s="67"/>
      <c r="V349" s="67"/>
      <c r="W349" s="67"/>
      <c r="X349" s="67"/>
    </row>
    <row r="350">
      <c r="U350" s="67"/>
      <c r="V350" s="67"/>
      <c r="W350" s="67"/>
      <c r="X350" s="67"/>
    </row>
    <row r="351">
      <c r="U351" s="67"/>
      <c r="V351" s="67"/>
      <c r="W351" s="67"/>
      <c r="X351" s="67"/>
    </row>
    <row r="352">
      <c r="U352" s="67"/>
      <c r="V352" s="67"/>
      <c r="W352" s="67"/>
      <c r="X352" s="67"/>
    </row>
    <row r="353">
      <c r="U353" s="67"/>
      <c r="V353" s="67"/>
      <c r="W353" s="67"/>
      <c r="X353" s="67"/>
    </row>
    <row r="354">
      <c r="U354" s="67"/>
      <c r="V354" s="67"/>
      <c r="W354" s="67"/>
      <c r="X354" s="67"/>
    </row>
    <row r="355">
      <c r="U355" s="67"/>
      <c r="V355" s="67"/>
      <c r="W355" s="67"/>
      <c r="X355" s="67"/>
    </row>
    <row r="356">
      <c r="U356" s="67"/>
      <c r="V356" s="67"/>
      <c r="W356" s="67"/>
      <c r="X356" s="67"/>
    </row>
    <row r="357">
      <c r="U357" s="67"/>
      <c r="V357" s="67"/>
      <c r="W357" s="67"/>
      <c r="X357" s="67"/>
    </row>
    <row r="358">
      <c r="U358" s="67"/>
      <c r="V358" s="67"/>
      <c r="W358" s="67"/>
      <c r="X358" s="67"/>
    </row>
    <row r="359">
      <c r="U359" s="67"/>
      <c r="V359" s="67"/>
      <c r="W359" s="67"/>
      <c r="X359" s="67"/>
    </row>
    <row r="360">
      <c r="U360" s="67"/>
      <c r="V360" s="67"/>
      <c r="W360" s="67"/>
      <c r="X360" s="67"/>
    </row>
    <row r="361">
      <c r="U361" s="67"/>
      <c r="V361" s="67"/>
      <c r="W361" s="67"/>
      <c r="X361" s="67"/>
    </row>
    <row r="362">
      <c r="U362" s="67"/>
      <c r="V362" s="67"/>
      <c r="W362" s="67"/>
      <c r="X362" s="67"/>
    </row>
    <row r="363">
      <c r="U363" s="67"/>
      <c r="V363" s="67"/>
      <c r="W363" s="67"/>
      <c r="X363" s="67"/>
    </row>
    <row r="364">
      <c r="U364" s="67"/>
      <c r="V364" s="67"/>
      <c r="W364" s="67"/>
      <c r="X364" s="67"/>
    </row>
    <row r="365">
      <c r="U365" s="67"/>
      <c r="V365" s="67"/>
      <c r="W365" s="67"/>
      <c r="X365" s="67"/>
    </row>
    <row r="366">
      <c r="U366" s="67"/>
      <c r="V366" s="67"/>
      <c r="W366" s="67"/>
      <c r="X366" s="67"/>
    </row>
    <row r="367">
      <c r="U367" s="67"/>
      <c r="V367" s="67"/>
      <c r="W367" s="67"/>
      <c r="X367" s="67"/>
    </row>
    <row r="368">
      <c r="U368" s="67"/>
      <c r="V368" s="67"/>
      <c r="W368" s="67"/>
      <c r="X368" s="67"/>
    </row>
    <row r="369">
      <c r="U369" s="67"/>
      <c r="V369" s="67"/>
      <c r="W369" s="67"/>
      <c r="X369" s="67"/>
    </row>
    <row r="370">
      <c r="U370" s="67"/>
      <c r="V370" s="67"/>
      <c r="W370" s="67"/>
      <c r="X370" s="67"/>
    </row>
    <row r="371">
      <c r="U371" s="67"/>
      <c r="V371" s="67"/>
      <c r="W371" s="67"/>
      <c r="X371" s="67"/>
    </row>
    <row r="372">
      <c r="U372" s="67"/>
      <c r="V372" s="67"/>
      <c r="W372" s="67"/>
      <c r="X372" s="67"/>
    </row>
    <row r="373">
      <c r="U373" s="67"/>
      <c r="V373" s="67"/>
      <c r="W373" s="67"/>
      <c r="X373" s="67"/>
    </row>
    <row r="374">
      <c r="U374" s="67"/>
      <c r="V374" s="67"/>
      <c r="W374" s="67"/>
      <c r="X374" s="67"/>
    </row>
    <row r="375">
      <c r="U375" s="67"/>
      <c r="V375" s="67"/>
      <c r="W375" s="67"/>
      <c r="X375" s="67"/>
    </row>
    <row r="376">
      <c r="U376" s="67"/>
      <c r="V376" s="67"/>
      <c r="W376" s="67"/>
      <c r="X376" s="67"/>
    </row>
    <row r="377">
      <c r="U377" s="67"/>
      <c r="V377" s="67"/>
      <c r="W377" s="67"/>
      <c r="X377" s="67"/>
    </row>
    <row r="378">
      <c r="U378" s="67"/>
      <c r="V378" s="67"/>
      <c r="W378" s="67"/>
      <c r="X378" s="67"/>
    </row>
    <row r="379">
      <c r="U379" s="67"/>
      <c r="V379" s="67"/>
      <c r="W379" s="67"/>
      <c r="X379" s="67"/>
    </row>
    <row r="380">
      <c r="U380" s="67"/>
      <c r="V380" s="67"/>
      <c r="W380" s="67"/>
      <c r="X380" s="67"/>
    </row>
    <row r="381">
      <c r="U381" s="67"/>
      <c r="V381" s="67"/>
      <c r="W381" s="67"/>
      <c r="X381" s="67"/>
    </row>
    <row r="382">
      <c r="U382" s="67"/>
      <c r="V382" s="67"/>
      <c r="W382" s="67"/>
      <c r="X382" s="67"/>
    </row>
    <row r="383">
      <c r="U383" s="67"/>
      <c r="V383" s="67"/>
      <c r="W383" s="67"/>
      <c r="X383" s="67"/>
    </row>
    <row r="384">
      <c r="U384" s="67"/>
      <c r="V384" s="67"/>
      <c r="W384" s="67"/>
      <c r="X384" s="67"/>
    </row>
    <row r="385">
      <c r="U385" s="67"/>
      <c r="V385" s="67"/>
      <c r="W385" s="67"/>
      <c r="X385" s="67"/>
    </row>
    <row r="386">
      <c r="U386" s="67"/>
      <c r="V386" s="67"/>
      <c r="W386" s="67"/>
      <c r="X386" s="67"/>
    </row>
    <row r="387">
      <c r="U387" s="67"/>
      <c r="V387" s="67"/>
      <c r="W387" s="67"/>
      <c r="X387" s="67"/>
    </row>
    <row r="388">
      <c r="U388" s="67"/>
      <c r="V388" s="67"/>
      <c r="W388" s="67"/>
      <c r="X388" s="67"/>
    </row>
    <row r="389">
      <c r="U389" s="67"/>
      <c r="V389" s="67"/>
      <c r="W389" s="67"/>
      <c r="X389" s="67"/>
    </row>
    <row r="390">
      <c r="U390" s="67"/>
      <c r="V390" s="67"/>
      <c r="W390" s="67"/>
      <c r="X390" s="67"/>
    </row>
    <row r="391">
      <c r="U391" s="67"/>
      <c r="V391" s="67"/>
      <c r="W391" s="67"/>
      <c r="X391" s="67"/>
    </row>
    <row r="392">
      <c r="U392" s="67"/>
      <c r="V392" s="67"/>
      <c r="W392" s="67"/>
      <c r="X392" s="67"/>
    </row>
    <row r="393">
      <c r="U393" s="67"/>
      <c r="V393" s="67"/>
      <c r="W393" s="67"/>
      <c r="X393" s="67"/>
    </row>
    <row r="394">
      <c r="U394" s="67"/>
      <c r="V394" s="67"/>
      <c r="W394" s="67"/>
      <c r="X394" s="67"/>
    </row>
    <row r="395">
      <c r="U395" s="67"/>
      <c r="V395" s="67"/>
      <c r="W395" s="67"/>
      <c r="X395" s="67"/>
    </row>
    <row r="396">
      <c r="U396" s="67"/>
      <c r="V396" s="67"/>
      <c r="W396" s="67"/>
      <c r="X396" s="67"/>
    </row>
    <row r="397">
      <c r="U397" s="67"/>
      <c r="V397" s="67"/>
      <c r="W397" s="67"/>
      <c r="X397" s="67"/>
    </row>
    <row r="398">
      <c r="U398" s="67"/>
      <c r="V398" s="67"/>
      <c r="W398" s="67"/>
      <c r="X398" s="67"/>
    </row>
    <row r="399">
      <c r="U399" s="67"/>
      <c r="V399" s="67"/>
      <c r="W399" s="67"/>
      <c r="X399" s="67"/>
    </row>
    <row r="400">
      <c r="U400" s="67"/>
      <c r="V400" s="67"/>
      <c r="W400" s="67"/>
      <c r="X400" s="67"/>
    </row>
    <row r="401">
      <c r="U401" s="67"/>
      <c r="V401" s="67"/>
      <c r="W401" s="67"/>
      <c r="X401" s="67"/>
    </row>
    <row r="402">
      <c r="U402" s="67"/>
      <c r="V402" s="67"/>
      <c r="W402" s="67"/>
      <c r="X402" s="67"/>
    </row>
    <row r="403">
      <c r="U403" s="67"/>
      <c r="V403" s="67"/>
      <c r="W403" s="67"/>
      <c r="X403" s="67"/>
    </row>
    <row r="404">
      <c r="U404" s="67"/>
      <c r="V404" s="67"/>
      <c r="W404" s="67"/>
      <c r="X404" s="67"/>
    </row>
    <row r="405">
      <c r="U405" s="67"/>
      <c r="V405" s="67"/>
      <c r="W405" s="67"/>
      <c r="X405" s="67"/>
    </row>
    <row r="406">
      <c r="U406" s="67"/>
      <c r="V406" s="67"/>
      <c r="W406" s="67"/>
      <c r="X406" s="67"/>
    </row>
    <row r="407">
      <c r="U407" s="67"/>
      <c r="V407" s="67"/>
      <c r="W407" s="67"/>
      <c r="X407" s="67"/>
    </row>
    <row r="408">
      <c r="U408" s="67"/>
      <c r="V408" s="67"/>
      <c r="W408" s="67"/>
      <c r="X408" s="67"/>
    </row>
    <row r="409">
      <c r="U409" s="67"/>
      <c r="V409" s="67"/>
      <c r="W409" s="67"/>
      <c r="X409" s="67"/>
    </row>
    <row r="410">
      <c r="U410" s="67"/>
      <c r="V410" s="67"/>
      <c r="W410" s="67"/>
      <c r="X410" s="67"/>
    </row>
    <row r="411">
      <c r="U411" s="67"/>
      <c r="V411" s="67"/>
      <c r="W411" s="67"/>
      <c r="X411" s="67"/>
    </row>
    <row r="412">
      <c r="U412" s="67"/>
      <c r="V412" s="67"/>
      <c r="W412" s="67"/>
      <c r="X412" s="67"/>
    </row>
    <row r="413">
      <c r="U413" s="67"/>
      <c r="V413" s="67"/>
      <c r="W413" s="67"/>
      <c r="X413" s="67"/>
    </row>
    <row r="414">
      <c r="U414" s="67"/>
      <c r="V414" s="67"/>
      <c r="W414" s="67"/>
      <c r="X414" s="67"/>
    </row>
    <row r="415">
      <c r="U415" s="67"/>
      <c r="V415" s="67"/>
      <c r="W415" s="67"/>
      <c r="X415" s="67"/>
    </row>
    <row r="416">
      <c r="U416" s="67"/>
      <c r="V416" s="67"/>
      <c r="W416" s="67"/>
      <c r="X416" s="67"/>
    </row>
    <row r="417">
      <c r="U417" s="67"/>
      <c r="V417" s="67"/>
      <c r="W417" s="67"/>
      <c r="X417" s="67"/>
    </row>
    <row r="418">
      <c r="U418" s="67"/>
      <c r="V418" s="67"/>
      <c r="W418" s="67"/>
      <c r="X418" s="67"/>
    </row>
    <row r="419">
      <c r="U419" s="67"/>
      <c r="V419" s="67"/>
      <c r="W419" s="67"/>
      <c r="X419" s="67"/>
    </row>
    <row r="420">
      <c r="U420" s="67"/>
      <c r="V420" s="67"/>
      <c r="W420" s="67"/>
      <c r="X420" s="67"/>
    </row>
    <row r="421">
      <c r="U421" s="67"/>
      <c r="V421" s="67"/>
      <c r="W421" s="67"/>
      <c r="X421" s="67"/>
    </row>
    <row r="422">
      <c r="U422" s="67"/>
      <c r="V422" s="67"/>
      <c r="W422" s="67"/>
      <c r="X422" s="67"/>
    </row>
    <row r="423">
      <c r="U423" s="67"/>
      <c r="V423" s="67"/>
      <c r="W423" s="67"/>
      <c r="X423" s="67"/>
    </row>
    <row r="424">
      <c r="U424" s="67"/>
      <c r="V424" s="67"/>
      <c r="W424" s="67"/>
      <c r="X424" s="67"/>
    </row>
    <row r="425">
      <c r="U425" s="67"/>
      <c r="V425" s="67"/>
      <c r="W425" s="67"/>
      <c r="X425" s="67"/>
    </row>
    <row r="426">
      <c r="U426" s="67"/>
      <c r="V426" s="67"/>
      <c r="W426" s="67"/>
      <c r="X426" s="67"/>
    </row>
    <row r="427">
      <c r="U427" s="67"/>
      <c r="V427" s="67"/>
      <c r="W427" s="67"/>
      <c r="X427" s="67"/>
    </row>
    <row r="428">
      <c r="U428" s="67"/>
      <c r="V428" s="67"/>
      <c r="W428" s="67"/>
      <c r="X428" s="67"/>
    </row>
    <row r="429">
      <c r="U429" s="67"/>
      <c r="V429" s="67"/>
      <c r="W429" s="67"/>
      <c r="X429" s="67"/>
    </row>
    <row r="430">
      <c r="U430" s="67"/>
      <c r="V430" s="67"/>
      <c r="W430" s="67"/>
      <c r="X430" s="67"/>
    </row>
    <row r="431">
      <c r="U431" s="67"/>
      <c r="V431" s="67"/>
      <c r="W431" s="67"/>
      <c r="X431" s="67"/>
    </row>
    <row r="432">
      <c r="U432" s="67"/>
      <c r="V432" s="67"/>
      <c r="W432" s="67"/>
      <c r="X432" s="67"/>
    </row>
    <row r="433">
      <c r="U433" s="67"/>
      <c r="V433" s="67"/>
      <c r="W433" s="67"/>
      <c r="X433" s="67"/>
    </row>
    <row r="434">
      <c r="U434" s="67"/>
      <c r="V434" s="67"/>
      <c r="W434" s="67"/>
      <c r="X434" s="67"/>
    </row>
    <row r="435">
      <c r="U435" s="67"/>
      <c r="V435" s="67"/>
      <c r="W435" s="67"/>
      <c r="X435" s="67"/>
    </row>
    <row r="436">
      <c r="U436" s="67"/>
      <c r="V436" s="67"/>
      <c r="W436" s="67"/>
      <c r="X436" s="67"/>
    </row>
    <row r="437">
      <c r="U437" s="67"/>
      <c r="V437" s="67"/>
      <c r="W437" s="67"/>
      <c r="X437" s="67"/>
    </row>
    <row r="438">
      <c r="U438" s="67"/>
      <c r="V438" s="67"/>
      <c r="W438" s="67"/>
      <c r="X438" s="67"/>
    </row>
    <row r="439">
      <c r="U439" s="67"/>
      <c r="V439" s="67"/>
      <c r="W439" s="67"/>
      <c r="X439" s="67"/>
    </row>
    <row r="440">
      <c r="U440" s="67"/>
      <c r="V440" s="67"/>
      <c r="W440" s="67"/>
      <c r="X440" s="67"/>
    </row>
    <row r="441">
      <c r="U441" s="67"/>
      <c r="V441" s="67"/>
      <c r="W441" s="67"/>
      <c r="X441" s="67"/>
    </row>
    <row r="442">
      <c r="U442" s="67"/>
      <c r="V442" s="67"/>
      <c r="W442" s="67"/>
      <c r="X442" s="67"/>
    </row>
    <row r="443">
      <c r="U443" s="67"/>
      <c r="V443" s="67"/>
      <c r="W443" s="67"/>
      <c r="X443" s="67"/>
    </row>
    <row r="444">
      <c r="U444" s="67"/>
      <c r="V444" s="67"/>
      <c r="W444" s="67"/>
      <c r="X444" s="67"/>
    </row>
    <row r="445">
      <c r="U445" s="67"/>
      <c r="V445" s="67"/>
      <c r="W445" s="67"/>
      <c r="X445" s="67"/>
    </row>
    <row r="446">
      <c r="U446" s="67"/>
      <c r="V446" s="67"/>
      <c r="W446" s="67"/>
      <c r="X446" s="67"/>
    </row>
    <row r="447">
      <c r="U447" s="67"/>
      <c r="V447" s="67"/>
      <c r="W447" s="67"/>
      <c r="X447" s="67"/>
    </row>
    <row r="448">
      <c r="U448" s="67"/>
      <c r="V448" s="67"/>
      <c r="W448" s="67"/>
      <c r="X448" s="67"/>
    </row>
    <row r="449">
      <c r="U449" s="67"/>
      <c r="V449" s="67"/>
      <c r="W449" s="67"/>
      <c r="X449" s="67"/>
    </row>
    <row r="450">
      <c r="U450" s="67"/>
      <c r="V450" s="67"/>
      <c r="W450" s="67"/>
      <c r="X450" s="67"/>
    </row>
    <row r="451">
      <c r="U451" s="67"/>
      <c r="V451" s="67"/>
      <c r="W451" s="67"/>
      <c r="X451" s="67"/>
    </row>
    <row r="452">
      <c r="U452" s="67"/>
      <c r="V452" s="67"/>
      <c r="W452" s="67"/>
      <c r="X452" s="67"/>
    </row>
    <row r="453">
      <c r="U453" s="67"/>
      <c r="V453" s="67"/>
      <c r="W453" s="67"/>
      <c r="X453" s="67"/>
    </row>
    <row r="454">
      <c r="U454" s="67"/>
      <c r="V454" s="67"/>
      <c r="W454" s="67"/>
      <c r="X454" s="67"/>
    </row>
    <row r="455">
      <c r="U455" s="67"/>
      <c r="V455" s="67"/>
      <c r="W455" s="67"/>
      <c r="X455" s="67"/>
    </row>
    <row r="456">
      <c r="U456" s="67"/>
      <c r="V456" s="67"/>
      <c r="W456" s="67"/>
      <c r="X456" s="67"/>
    </row>
    <row r="457">
      <c r="U457" s="67"/>
      <c r="V457" s="67"/>
      <c r="W457" s="67"/>
      <c r="X457" s="67"/>
    </row>
    <row r="458">
      <c r="U458" s="67"/>
      <c r="V458" s="67"/>
      <c r="W458" s="67"/>
      <c r="X458" s="67"/>
    </row>
    <row r="459">
      <c r="U459" s="67"/>
      <c r="V459" s="67"/>
      <c r="W459" s="67"/>
      <c r="X459" s="67"/>
    </row>
    <row r="460">
      <c r="U460" s="67"/>
      <c r="V460" s="67"/>
      <c r="W460" s="67"/>
      <c r="X460" s="67"/>
    </row>
    <row r="461">
      <c r="U461" s="67"/>
      <c r="V461" s="67"/>
      <c r="W461" s="67"/>
      <c r="X461" s="67"/>
    </row>
    <row r="462">
      <c r="U462" s="67"/>
      <c r="V462" s="67"/>
      <c r="W462" s="67"/>
      <c r="X462" s="67"/>
    </row>
    <row r="463">
      <c r="U463" s="67"/>
      <c r="V463" s="67"/>
      <c r="W463" s="67"/>
      <c r="X463" s="67"/>
    </row>
    <row r="464">
      <c r="U464" s="67"/>
      <c r="V464" s="67"/>
      <c r="W464" s="67"/>
      <c r="X464" s="67"/>
    </row>
    <row r="465">
      <c r="U465" s="67"/>
      <c r="V465" s="67"/>
      <c r="W465" s="67"/>
      <c r="X465" s="67"/>
    </row>
    <row r="466">
      <c r="U466" s="67"/>
      <c r="V466" s="67"/>
      <c r="W466" s="67"/>
      <c r="X466" s="67"/>
    </row>
    <row r="467">
      <c r="U467" s="67"/>
      <c r="V467" s="67"/>
      <c r="W467" s="67"/>
      <c r="X467" s="67"/>
    </row>
    <row r="468">
      <c r="U468" s="67"/>
      <c r="V468" s="67"/>
      <c r="W468" s="67"/>
      <c r="X468" s="67"/>
    </row>
    <row r="469">
      <c r="U469" s="67"/>
      <c r="V469" s="67"/>
      <c r="W469" s="67"/>
      <c r="X469" s="67"/>
    </row>
    <row r="470">
      <c r="U470" s="67"/>
      <c r="V470" s="67"/>
      <c r="W470" s="67"/>
      <c r="X470" s="67"/>
    </row>
    <row r="471">
      <c r="U471" s="67"/>
      <c r="V471" s="67"/>
      <c r="W471" s="67"/>
      <c r="X471" s="67"/>
    </row>
    <row r="472">
      <c r="U472" s="67"/>
      <c r="V472" s="67"/>
      <c r="W472" s="67"/>
      <c r="X472" s="67"/>
    </row>
    <row r="473">
      <c r="U473" s="67"/>
      <c r="V473" s="67"/>
      <c r="W473" s="67"/>
      <c r="X473" s="67"/>
    </row>
    <row r="474">
      <c r="U474" s="67"/>
      <c r="V474" s="67"/>
      <c r="W474" s="67"/>
      <c r="X474" s="67"/>
    </row>
    <row r="475">
      <c r="U475" s="67"/>
      <c r="V475" s="67"/>
      <c r="W475" s="67"/>
      <c r="X475" s="67"/>
    </row>
    <row r="476">
      <c r="U476" s="67"/>
      <c r="V476" s="67"/>
      <c r="W476" s="67"/>
      <c r="X476" s="67"/>
    </row>
    <row r="477">
      <c r="U477" s="67"/>
      <c r="V477" s="67"/>
      <c r="W477" s="67"/>
      <c r="X477" s="67"/>
    </row>
    <row r="478">
      <c r="U478" s="67"/>
      <c r="V478" s="67"/>
      <c r="W478" s="67"/>
      <c r="X478" s="67"/>
    </row>
    <row r="479">
      <c r="U479" s="67"/>
      <c r="V479" s="67"/>
      <c r="W479" s="67"/>
      <c r="X479" s="67"/>
    </row>
    <row r="480">
      <c r="U480" s="67"/>
      <c r="V480" s="67"/>
      <c r="W480" s="67"/>
      <c r="X480" s="67"/>
    </row>
    <row r="481">
      <c r="U481" s="67"/>
      <c r="V481" s="67"/>
      <c r="W481" s="67"/>
      <c r="X481" s="67"/>
    </row>
    <row r="482">
      <c r="U482" s="67"/>
      <c r="V482" s="67"/>
      <c r="W482" s="67"/>
      <c r="X482" s="67"/>
    </row>
    <row r="483">
      <c r="U483" s="67"/>
      <c r="V483" s="67"/>
      <c r="W483" s="67"/>
      <c r="X483" s="67"/>
    </row>
    <row r="484">
      <c r="U484" s="67"/>
      <c r="V484" s="67"/>
      <c r="W484" s="67"/>
      <c r="X484" s="67"/>
    </row>
    <row r="485">
      <c r="U485" s="67"/>
      <c r="V485" s="67"/>
      <c r="W485" s="67"/>
      <c r="X485" s="67"/>
    </row>
    <row r="486">
      <c r="U486" s="67"/>
      <c r="V486" s="67"/>
      <c r="W486" s="67"/>
      <c r="X486" s="67"/>
    </row>
    <row r="487">
      <c r="U487" s="67"/>
      <c r="V487" s="67"/>
      <c r="W487" s="67"/>
      <c r="X487" s="67"/>
    </row>
    <row r="488">
      <c r="U488" s="67"/>
      <c r="V488" s="67"/>
      <c r="W488" s="67"/>
      <c r="X488" s="67"/>
    </row>
    <row r="489">
      <c r="U489" s="67"/>
      <c r="V489" s="67"/>
      <c r="W489" s="67"/>
      <c r="X489" s="67"/>
    </row>
    <row r="490">
      <c r="U490" s="67"/>
      <c r="V490" s="67"/>
      <c r="W490" s="67"/>
      <c r="X490" s="67"/>
    </row>
    <row r="491">
      <c r="U491" s="67"/>
      <c r="V491" s="67"/>
      <c r="W491" s="67"/>
      <c r="X491" s="67"/>
    </row>
    <row r="492">
      <c r="U492" s="67"/>
      <c r="V492" s="67"/>
      <c r="W492" s="67"/>
      <c r="X492" s="67"/>
    </row>
    <row r="493">
      <c r="U493" s="67"/>
      <c r="V493" s="67"/>
      <c r="W493" s="67"/>
      <c r="X493" s="67"/>
    </row>
    <row r="494">
      <c r="U494" s="67"/>
      <c r="V494" s="67"/>
      <c r="W494" s="67"/>
      <c r="X494" s="67"/>
    </row>
    <row r="495">
      <c r="U495" s="67"/>
      <c r="V495" s="67"/>
      <c r="W495" s="67"/>
      <c r="X495" s="67"/>
    </row>
    <row r="496">
      <c r="U496" s="67"/>
      <c r="V496" s="67"/>
      <c r="W496" s="67"/>
      <c r="X496" s="67"/>
    </row>
    <row r="497">
      <c r="U497" s="67"/>
      <c r="V497" s="67"/>
      <c r="W497" s="67"/>
      <c r="X497" s="67"/>
    </row>
    <row r="498">
      <c r="U498" s="67"/>
      <c r="V498" s="67"/>
      <c r="W498" s="67"/>
      <c r="X498" s="67"/>
    </row>
    <row r="499">
      <c r="U499" s="67"/>
      <c r="V499" s="67"/>
      <c r="W499" s="67"/>
      <c r="X499" s="67"/>
    </row>
    <row r="500">
      <c r="U500" s="67"/>
      <c r="V500" s="67"/>
      <c r="W500" s="67"/>
      <c r="X500" s="67"/>
    </row>
    <row r="501">
      <c r="U501" s="67"/>
      <c r="V501" s="67"/>
      <c r="W501" s="67"/>
      <c r="X501" s="67"/>
    </row>
    <row r="502">
      <c r="U502" s="67"/>
      <c r="V502" s="67"/>
      <c r="W502" s="67"/>
      <c r="X502" s="67"/>
    </row>
    <row r="503">
      <c r="U503" s="67"/>
      <c r="V503" s="67"/>
      <c r="W503" s="67"/>
      <c r="X503" s="67"/>
    </row>
    <row r="504">
      <c r="U504" s="67"/>
      <c r="V504" s="67"/>
      <c r="W504" s="67"/>
      <c r="X504" s="67"/>
    </row>
    <row r="505">
      <c r="U505" s="67"/>
      <c r="V505" s="67"/>
      <c r="W505" s="67"/>
      <c r="X505" s="67"/>
    </row>
    <row r="506">
      <c r="U506" s="67"/>
      <c r="V506" s="67"/>
      <c r="W506" s="67"/>
      <c r="X506" s="67"/>
    </row>
    <row r="507">
      <c r="U507" s="67"/>
      <c r="V507" s="67"/>
      <c r="W507" s="67"/>
      <c r="X507" s="67"/>
    </row>
    <row r="508">
      <c r="U508" s="67"/>
      <c r="V508" s="67"/>
      <c r="W508" s="67"/>
      <c r="X508" s="67"/>
    </row>
    <row r="509">
      <c r="U509" s="67"/>
      <c r="V509" s="67"/>
      <c r="W509" s="67"/>
      <c r="X509" s="67"/>
    </row>
    <row r="510">
      <c r="U510" s="67"/>
      <c r="V510" s="67"/>
      <c r="W510" s="67"/>
      <c r="X510" s="67"/>
    </row>
    <row r="511">
      <c r="U511" s="67"/>
      <c r="V511" s="67"/>
      <c r="W511" s="67"/>
      <c r="X511" s="67"/>
    </row>
    <row r="512">
      <c r="U512" s="67"/>
      <c r="V512" s="67"/>
      <c r="W512" s="67"/>
      <c r="X512" s="67"/>
    </row>
    <row r="513">
      <c r="U513" s="67"/>
      <c r="V513" s="67"/>
      <c r="W513" s="67"/>
      <c r="X513" s="67"/>
    </row>
    <row r="514">
      <c r="U514" s="67"/>
      <c r="V514" s="67"/>
      <c r="W514" s="67"/>
      <c r="X514" s="67"/>
    </row>
    <row r="515">
      <c r="U515" s="67"/>
      <c r="V515" s="67"/>
      <c r="W515" s="67"/>
      <c r="X515" s="67"/>
    </row>
    <row r="516">
      <c r="U516" s="67"/>
      <c r="V516" s="67"/>
      <c r="W516" s="67"/>
      <c r="X516" s="67"/>
    </row>
    <row r="517">
      <c r="U517" s="67"/>
      <c r="V517" s="67"/>
      <c r="W517" s="67"/>
      <c r="X517" s="67"/>
    </row>
    <row r="518">
      <c r="U518" s="67"/>
      <c r="V518" s="67"/>
      <c r="W518" s="67"/>
      <c r="X518" s="67"/>
    </row>
    <row r="519">
      <c r="U519" s="67"/>
      <c r="V519" s="67"/>
      <c r="W519" s="67"/>
      <c r="X519" s="67"/>
    </row>
    <row r="520">
      <c r="U520" s="67"/>
      <c r="V520" s="67"/>
      <c r="W520" s="67"/>
      <c r="X520" s="67"/>
    </row>
    <row r="521">
      <c r="U521" s="67"/>
      <c r="V521" s="67"/>
      <c r="W521" s="67"/>
      <c r="X521" s="67"/>
    </row>
    <row r="522">
      <c r="U522" s="67"/>
      <c r="V522" s="67"/>
      <c r="W522" s="67"/>
      <c r="X522" s="67"/>
    </row>
    <row r="523">
      <c r="U523" s="67"/>
      <c r="V523" s="67"/>
      <c r="W523" s="67"/>
      <c r="X523" s="67"/>
    </row>
    <row r="524">
      <c r="U524" s="67"/>
      <c r="V524" s="67"/>
      <c r="W524" s="67"/>
      <c r="X524" s="67"/>
    </row>
    <row r="525">
      <c r="U525" s="67"/>
      <c r="V525" s="67"/>
      <c r="W525" s="67"/>
      <c r="X525" s="67"/>
    </row>
    <row r="526">
      <c r="U526" s="67"/>
      <c r="V526" s="67"/>
      <c r="W526" s="67"/>
      <c r="X526" s="67"/>
    </row>
    <row r="527">
      <c r="U527" s="67"/>
      <c r="V527" s="67"/>
      <c r="W527" s="67"/>
      <c r="X527" s="67"/>
    </row>
    <row r="528">
      <c r="U528" s="67"/>
      <c r="V528" s="67"/>
      <c r="W528" s="67"/>
      <c r="X528" s="67"/>
    </row>
    <row r="529">
      <c r="U529" s="67"/>
      <c r="V529" s="67"/>
      <c r="W529" s="67"/>
      <c r="X529" s="67"/>
    </row>
    <row r="530">
      <c r="U530" s="67"/>
      <c r="V530" s="67"/>
      <c r="W530" s="67"/>
      <c r="X530" s="67"/>
    </row>
    <row r="531">
      <c r="U531" s="67"/>
      <c r="V531" s="67"/>
      <c r="W531" s="67"/>
      <c r="X531" s="67"/>
    </row>
    <row r="532">
      <c r="U532" s="67"/>
      <c r="V532" s="67"/>
      <c r="W532" s="67"/>
      <c r="X532" s="67"/>
    </row>
    <row r="533">
      <c r="U533" s="67"/>
      <c r="V533" s="67"/>
      <c r="W533" s="67"/>
      <c r="X533" s="67"/>
    </row>
    <row r="534">
      <c r="U534" s="67"/>
      <c r="V534" s="67"/>
      <c r="W534" s="67"/>
      <c r="X534" s="67"/>
    </row>
    <row r="535">
      <c r="U535" s="67"/>
      <c r="V535" s="67"/>
      <c r="W535" s="67"/>
      <c r="X535" s="67"/>
    </row>
    <row r="536">
      <c r="U536" s="67"/>
      <c r="V536" s="67"/>
      <c r="W536" s="67"/>
      <c r="X536" s="67"/>
    </row>
    <row r="537">
      <c r="U537" s="67"/>
      <c r="V537" s="67"/>
      <c r="W537" s="67"/>
      <c r="X537" s="67"/>
    </row>
    <row r="538">
      <c r="U538" s="67"/>
      <c r="V538" s="67"/>
      <c r="W538" s="67"/>
      <c r="X538" s="67"/>
    </row>
    <row r="539">
      <c r="U539" s="67"/>
      <c r="V539" s="67"/>
      <c r="W539" s="67"/>
      <c r="X539" s="67"/>
    </row>
    <row r="540">
      <c r="U540" s="67"/>
      <c r="V540" s="67"/>
      <c r="W540" s="67"/>
      <c r="X540" s="67"/>
    </row>
    <row r="541">
      <c r="U541" s="67"/>
      <c r="V541" s="67"/>
      <c r="W541" s="67"/>
      <c r="X541" s="67"/>
    </row>
    <row r="542">
      <c r="U542" s="67"/>
      <c r="V542" s="67"/>
      <c r="W542" s="67"/>
      <c r="X542" s="67"/>
    </row>
    <row r="543">
      <c r="U543" s="67"/>
      <c r="V543" s="67"/>
      <c r="W543" s="67"/>
      <c r="X543" s="67"/>
    </row>
    <row r="544">
      <c r="U544" s="67"/>
      <c r="V544" s="67"/>
      <c r="W544" s="67"/>
      <c r="X544" s="67"/>
    </row>
    <row r="545">
      <c r="U545" s="67"/>
      <c r="V545" s="67"/>
      <c r="W545" s="67"/>
      <c r="X545" s="67"/>
    </row>
    <row r="546">
      <c r="U546" s="67"/>
      <c r="V546" s="67"/>
      <c r="W546" s="67"/>
      <c r="X546" s="67"/>
    </row>
    <row r="547">
      <c r="U547" s="67"/>
      <c r="V547" s="67"/>
      <c r="W547" s="67"/>
      <c r="X547" s="67"/>
    </row>
    <row r="548">
      <c r="U548" s="67"/>
      <c r="V548" s="67"/>
      <c r="W548" s="67"/>
      <c r="X548" s="67"/>
    </row>
    <row r="549">
      <c r="U549" s="67"/>
      <c r="V549" s="67"/>
      <c r="W549" s="67"/>
      <c r="X549" s="67"/>
    </row>
    <row r="550">
      <c r="U550" s="67"/>
      <c r="V550" s="67"/>
      <c r="W550" s="67"/>
      <c r="X550" s="67"/>
    </row>
    <row r="551">
      <c r="U551" s="67"/>
      <c r="V551" s="67"/>
      <c r="W551" s="67"/>
      <c r="X551" s="67"/>
    </row>
    <row r="552">
      <c r="U552" s="67"/>
      <c r="V552" s="67"/>
      <c r="W552" s="67"/>
      <c r="X552" s="67"/>
    </row>
    <row r="553">
      <c r="U553" s="67"/>
      <c r="V553" s="67"/>
      <c r="W553" s="67"/>
      <c r="X553" s="67"/>
    </row>
    <row r="554">
      <c r="U554" s="67"/>
      <c r="V554" s="67"/>
      <c r="W554" s="67"/>
      <c r="X554" s="67"/>
    </row>
    <row r="555">
      <c r="U555" s="67"/>
      <c r="V555" s="67"/>
      <c r="W555" s="67"/>
      <c r="X555" s="67"/>
    </row>
    <row r="556">
      <c r="U556" s="67"/>
      <c r="V556" s="67"/>
      <c r="W556" s="67"/>
      <c r="X556" s="67"/>
    </row>
    <row r="557">
      <c r="U557" s="67"/>
      <c r="V557" s="67"/>
      <c r="W557" s="67"/>
      <c r="X557" s="67"/>
    </row>
    <row r="558">
      <c r="U558" s="67"/>
      <c r="V558" s="67"/>
      <c r="W558" s="67"/>
      <c r="X558" s="67"/>
    </row>
    <row r="559">
      <c r="U559" s="67"/>
      <c r="V559" s="67"/>
      <c r="W559" s="67"/>
      <c r="X559" s="67"/>
    </row>
    <row r="560">
      <c r="U560" s="67"/>
      <c r="V560" s="67"/>
      <c r="W560" s="67"/>
      <c r="X560" s="67"/>
    </row>
    <row r="561">
      <c r="U561" s="67"/>
      <c r="V561" s="67"/>
      <c r="W561" s="67"/>
      <c r="X561" s="67"/>
    </row>
    <row r="562">
      <c r="U562" s="67"/>
      <c r="V562" s="67"/>
      <c r="W562" s="67"/>
      <c r="X562" s="67"/>
    </row>
    <row r="563">
      <c r="U563" s="67"/>
      <c r="V563" s="67"/>
      <c r="W563" s="67"/>
      <c r="X563" s="67"/>
    </row>
    <row r="564">
      <c r="U564" s="67"/>
      <c r="V564" s="67"/>
      <c r="W564" s="67"/>
      <c r="X564" s="67"/>
    </row>
    <row r="565">
      <c r="U565" s="67"/>
      <c r="V565" s="67"/>
      <c r="W565" s="67"/>
      <c r="X565" s="67"/>
    </row>
    <row r="566">
      <c r="U566" s="67"/>
      <c r="V566" s="67"/>
      <c r="W566" s="67"/>
      <c r="X566" s="67"/>
    </row>
    <row r="567">
      <c r="U567" s="67"/>
      <c r="V567" s="67"/>
      <c r="W567" s="67"/>
      <c r="X567" s="67"/>
    </row>
    <row r="568">
      <c r="U568" s="67"/>
      <c r="V568" s="67"/>
      <c r="W568" s="67"/>
      <c r="X568" s="67"/>
    </row>
    <row r="569">
      <c r="U569" s="67"/>
      <c r="V569" s="67"/>
      <c r="W569" s="67"/>
      <c r="X569" s="67"/>
    </row>
    <row r="570">
      <c r="U570" s="67"/>
      <c r="V570" s="67"/>
      <c r="W570" s="67"/>
      <c r="X570" s="67"/>
    </row>
    <row r="571">
      <c r="U571" s="67"/>
      <c r="V571" s="67"/>
      <c r="W571" s="67"/>
      <c r="X571" s="67"/>
    </row>
    <row r="572">
      <c r="U572" s="67"/>
      <c r="V572" s="67"/>
      <c r="W572" s="67"/>
      <c r="X572" s="67"/>
    </row>
    <row r="573">
      <c r="U573" s="67"/>
      <c r="V573" s="67"/>
      <c r="W573" s="67"/>
      <c r="X573" s="67"/>
    </row>
    <row r="574">
      <c r="U574" s="67"/>
      <c r="V574" s="67"/>
      <c r="W574" s="67"/>
      <c r="X574" s="67"/>
    </row>
    <row r="575">
      <c r="U575" s="67"/>
      <c r="V575" s="67"/>
      <c r="W575" s="67"/>
      <c r="X575" s="67"/>
    </row>
    <row r="576">
      <c r="U576" s="67"/>
      <c r="V576" s="67"/>
      <c r="W576" s="67"/>
      <c r="X576" s="67"/>
    </row>
    <row r="577">
      <c r="U577" s="67"/>
      <c r="V577" s="67"/>
      <c r="W577" s="67"/>
      <c r="X577" s="67"/>
    </row>
    <row r="578">
      <c r="U578" s="67"/>
      <c r="V578" s="67"/>
      <c r="W578" s="67"/>
      <c r="X578" s="67"/>
    </row>
    <row r="579">
      <c r="U579" s="67"/>
      <c r="V579" s="67"/>
      <c r="W579" s="67"/>
      <c r="X579" s="67"/>
    </row>
    <row r="580">
      <c r="U580" s="67"/>
      <c r="V580" s="67"/>
      <c r="W580" s="67"/>
      <c r="X580" s="67"/>
    </row>
    <row r="581">
      <c r="U581" s="67"/>
      <c r="V581" s="67"/>
      <c r="W581" s="67"/>
      <c r="X581" s="67"/>
    </row>
    <row r="582">
      <c r="U582" s="67"/>
      <c r="V582" s="67"/>
      <c r="W582" s="67"/>
      <c r="X582" s="67"/>
    </row>
    <row r="583">
      <c r="U583" s="67"/>
      <c r="V583" s="67"/>
      <c r="W583" s="67"/>
      <c r="X583" s="67"/>
    </row>
    <row r="584">
      <c r="U584" s="67"/>
      <c r="V584" s="67"/>
      <c r="W584" s="67"/>
      <c r="X584" s="67"/>
    </row>
    <row r="585">
      <c r="U585" s="67"/>
      <c r="V585" s="67"/>
      <c r="W585" s="67"/>
      <c r="X585" s="67"/>
    </row>
    <row r="586">
      <c r="U586" s="67"/>
      <c r="V586" s="67"/>
      <c r="W586" s="67"/>
      <c r="X586" s="67"/>
    </row>
    <row r="587">
      <c r="U587" s="67"/>
      <c r="V587" s="67"/>
      <c r="W587" s="67"/>
      <c r="X587" s="67"/>
    </row>
    <row r="588">
      <c r="U588" s="67"/>
      <c r="V588" s="67"/>
      <c r="W588" s="67"/>
      <c r="X588" s="67"/>
    </row>
    <row r="589">
      <c r="U589" s="67"/>
      <c r="V589" s="67"/>
      <c r="W589" s="67"/>
      <c r="X589" s="67"/>
    </row>
    <row r="590">
      <c r="U590" s="67"/>
      <c r="V590" s="67"/>
      <c r="W590" s="67"/>
      <c r="X590" s="67"/>
    </row>
    <row r="591">
      <c r="U591" s="67"/>
      <c r="V591" s="67"/>
      <c r="W591" s="67"/>
      <c r="X591" s="67"/>
    </row>
    <row r="592">
      <c r="U592" s="67"/>
      <c r="V592" s="67"/>
      <c r="W592" s="67"/>
      <c r="X592" s="67"/>
    </row>
    <row r="593">
      <c r="U593" s="67"/>
      <c r="V593" s="67"/>
      <c r="W593" s="67"/>
      <c r="X593" s="67"/>
    </row>
    <row r="594">
      <c r="U594" s="67"/>
      <c r="V594" s="67"/>
      <c r="W594" s="67"/>
      <c r="X594" s="67"/>
    </row>
    <row r="595">
      <c r="U595" s="67"/>
      <c r="V595" s="67"/>
      <c r="W595" s="67"/>
      <c r="X595" s="67"/>
    </row>
    <row r="596">
      <c r="U596" s="67"/>
      <c r="V596" s="67"/>
      <c r="W596" s="67"/>
      <c r="X596" s="67"/>
    </row>
    <row r="597">
      <c r="U597" s="67"/>
      <c r="V597" s="67"/>
      <c r="W597" s="67"/>
      <c r="X597" s="67"/>
    </row>
    <row r="598">
      <c r="U598" s="67"/>
      <c r="V598" s="67"/>
      <c r="W598" s="67"/>
      <c r="X598" s="67"/>
    </row>
    <row r="599">
      <c r="U599" s="67"/>
      <c r="V599" s="67"/>
      <c r="W599" s="67"/>
      <c r="X599" s="67"/>
    </row>
    <row r="600">
      <c r="U600" s="67"/>
      <c r="V600" s="67"/>
      <c r="W600" s="67"/>
      <c r="X600" s="67"/>
    </row>
    <row r="601">
      <c r="U601" s="67"/>
      <c r="V601" s="67"/>
      <c r="W601" s="67"/>
      <c r="X601" s="67"/>
    </row>
    <row r="602">
      <c r="U602" s="67"/>
      <c r="V602" s="67"/>
      <c r="W602" s="67"/>
      <c r="X602" s="67"/>
    </row>
    <row r="603">
      <c r="U603" s="67"/>
      <c r="V603" s="67"/>
      <c r="W603" s="67"/>
      <c r="X603" s="67"/>
    </row>
    <row r="604">
      <c r="U604" s="67"/>
      <c r="V604" s="67"/>
      <c r="W604" s="67"/>
      <c r="X604" s="67"/>
    </row>
    <row r="605">
      <c r="U605" s="67"/>
      <c r="V605" s="67"/>
      <c r="W605" s="67"/>
      <c r="X605" s="67"/>
    </row>
    <row r="606">
      <c r="U606" s="67"/>
      <c r="V606" s="67"/>
      <c r="W606" s="67"/>
      <c r="X606" s="67"/>
    </row>
    <row r="607">
      <c r="U607" s="67"/>
      <c r="V607" s="67"/>
      <c r="W607" s="67"/>
      <c r="X607" s="67"/>
    </row>
    <row r="608">
      <c r="U608" s="67"/>
      <c r="V608" s="67"/>
      <c r="W608" s="67"/>
      <c r="X608" s="67"/>
    </row>
    <row r="609">
      <c r="U609" s="67"/>
      <c r="V609" s="67"/>
      <c r="W609" s="67"/>
      <c r="X609" s="67"/>
    </row>
    <row r="610">
      <c r="U610" s="67"/>
      <c r="V610" s="67"/>
      <c r="W610" s="67"/>
      <c r="X610" s="67"/>
    </row>
    <row r="611">
      <c r="U611" s="67"/>
      <c r="V611" s="67"/>
      <c r="W611" s="67"/>
      <c r="X611" s="67"/>
    </row>
    <row r="612">
      <c r="U612" s="67"/>
      <c r="V612" s="67"/>
      <c r="W612" s="67"/>
      <c r="X612" s="67"/>
    </row>
    <row r="613">
      <c r="U613" s="67"/>
      <c r="V613" s="67"/>
      <c r="W613" s="67"/>
      <c r="X613" s="67"/>
    </row>
    <row r="614">
      <c r="U614" s="67"/>
      <c r="V614" s="67"/>
      <c r="W614" s="67"/>
      <c r="X614" s="67"/>
    </row>
    <row r="615">
      <c r="U615" s="67"/>
      <c r="V615" s="67"/>
      <c r="W615" s="67"/>
      <c r="X615" s="67"/>
    </row>
    <row r="616">
      <c r="U616" s="67"/>
      <c r="V616" s="67"/>
      <c r="W616" s="67"/>
      <c r="X616" s="67"/>
    </row>
    <row r="617">
      <c r="U617" s="67"/>
      <c r="V617" s="67"/>
      <c r="W617" s="67"/>
      <c r="X617" s="67"/>
    </row>
    <row r="618">
      <c r="U618" s="67"/>
      <c r="V618" s="67"/>
      <c r="W618" s="67"/>
      <c r="X618" s="67"/>
    </row>
    <row r="619">
      <c r="U619" s="67"/>
      <c r="V619" s="67"/>
      <c r="W619" s="67"/>
      <c r="X619" s="67"/>
    </row>
    <row r="620">
      <c r="U620" s="67"/>
      <c r="V620" s="67"/>
      <c r="W620" s="67"/>
      <c r="X620" s="67"/>
    </row>
    <row r="621">
      <c r="U621" s="67"/>
      <c r="V621" s="67"/>
      <c r="W621" s="67"/>
      <c r="X621" s="67"/>
    </row>
    <row r="622">
      <c r="U622" s="67"/>
      <c r="V622" s="67"/>
      <c r="W622" s="67"/>
      <c r="X622" s="67"/>
    </row>
    <row r="623">
      <c r="U623" s="67"/>
      <c r="V623" s="67"/>
      <c r="W623" s="67"/>
      <c r="X623" s="67"/>
    </row>
    <row r="624">
      <c r="U624" s="67"/>
      <c r="V624" s="67"/>
      <c r="W624" s="67"/>
      <c r="X624" s="67"/>
    </row>
    <row r="625">
      <c r="U625" s="67"/>
      <c r="V625" s="67"/>
      <c r="W625" s="67"/>
      <c r="X625" s="67"/>
    </row>
    <row r="626">
      <c r="U626" s="67"/>
      <c r="V626" s="67"/>
      <c r="W626" s="67"/>
      <c r="X626" s="67"/>
    </row>
    <row r="627">
      <c r="U627" s="67"/>
      <c r="V627" s="67"/>
      <c r="W627" s="67"/>
      <c r="X627" s="67"/>
    </row>
    <row r="628">
      <c r="U628" s="67"/>
      <c r="V628" s="67"/>
      <c r="W628" s="67"/>
      <c r="X628" s="67"/>
    </row>
    <row r="629">
      <c r="U629" s="67"/>
      <c r="V629" s="67"/>
      <c r="W629" s="67"/>
      <c r="X629" s="67"/>
    </row>
    <row r="630">
      <c r="U630" s="67"/>
      <c r="V630" s="67"/>
      <c r="W630" s="67"/>
      <c r="X630" s="67"/>
    </row>
    <row r="631">
      <c r="U631" s="67"/>
      <c r="V631" s="67"/>
      <c r="W631" s="67"/>
      <c r="X631" s="67"/>
    </row>
    <row r="632">
      <c r="U632" s="67"/>
      <c r="V632" s="67"/>
      <c r="W632" s="67"/>
      <c r="X632" s="67"/>
    </row>
    <row r="633">
      <c r="U633" s="67"/>
      <c r="V633" s="67"/>
      <c r="W633" s="67"/>
      <c r="X633" s="67"/>
    </row>
    <row r="634">
      <c r="U634" s="67"/>
      <c r="V634" s="67"/>
      <c r="W634" s="67"/>
      <c r="X634" s="67"/>
    </row>
    <row r="635">
      <c r="U635" s="67"/>
      <c r="V635" s="67"/>
      <c r="W635" s="67"/>
      <c r="X635" s="67"/>
    </row>
    <row r="636">
      <c r="U636" s="67"/>
      <c r="V636" s="67"/>
      <c r="W636" s="67"/>
      <c r="X636" s="67"/>
    </row>
    <row r="637">
      <c r="U637" s="67"/>
      <c r="V637" s="67"/>
      <c r="W637" s="67"/>
      <c r="X637" s="67"/>
    </row>
    <row r="638">
      <c r="U638" s="67"/>
      <c r="V638" s="67"/>
      <c r="W638" s="67"/>
      <c r="X638" s="67"/>
    </row>
    <row r="639">
      <c r="U639" s="67"/>
      <c r="V639" s="67"/>
      <c r="W639" s="67"/>
      <c r="X639" s="67"/>
    </row>
    <row r="640">
      <c r="U640" s="67"/>
      <c r="V640" s="67"/>
      <c r="W640" s="67"/>
      <c r="X640" s="67"/>
    </row>
    <row r="641">
      <c r="U641" s="67"/>
      <c r="V641" s="67"/>
      <c r="W641" s="67"/>
      <c r="X641" s="67"/>
    </row>
    <row r="642">
      <c r="U642" s="67"/>
      <c r="V642" s="67"/>
      <c r="W642" s="67"/>
      <c r="X642" s="67"/>
    </row>
    <row r="643">
      <c r="U643" s="67"/>
      <c r="V643" s="67"/>
      <c r="W643" s="67"/>
      <c r="X643" s="67"/>
    </row>
    <row r="644">
      <c r="U644" s="67"/>
      <c r="V644" s="67"/>
      <c r="W644" s="67"/>
      <c r="X644" s="67"/>
    </row>
    <row r="645">
      <c r="U645" s="67"/>
      <c r="V645" s="67"/>
      <c r="W645" s="67"/>
      <c r="X645" s="67"/>
    </row>
    <row r="646">
      <c r="U646" s="67"/>
      <c r="V646" s="67"/>
      <c r="W646" s="67"/>
      <c r="X646" s="67"/>
    </row>
    <row r="647">
      <c r="U647" s="67"/>
      <c r="V647" s="67"/>
      <c r="W647" s="67"/>
      <c r="X647" s="67"/>
    </row>
    <row r="648">
      <c r="U648" s="67"/>
      <c r="V648" s="67"/>
      <c r="W648" s="67"/>
      <c r="X648" s="67"/>
    </row>
    <row r="649">
      <c r="U649" s="67"/>
      <c r="V649" s="67"/>
      <c r="W649" s="67"/>
      <c r="X649" s="67"/>
    </row>
    <row r="650">
      <c r="U650" s="67"/>
      <c r="V650" s="67"/>
      <c r="W650" s="67"/>
      <c r="X650" s="67"/>
    </row>
    <row r="651">
      <c r="U651" s="67"/>
      <c r="V651" s="67"/>
      <c r="W651" s="67"/>
      <c r="X651" s="67"/>
    </row>
    <row r="652">
      <c r="U652" s="67"/>
      <c r="V652" s="67"/>
      <c r="W652" s="67"/>
      <c r="X652" s="67"/>
    </row>
    <row r="653">
      <c r="U653" s="67"/>
      <c r="V653" s="67"/>
      <c r="W653" s="67"/>
      <c r="X653" s="67"/>
    </row>
    <row r="654">
      <c r="U654" s="67"/>
      <c r="V654" s="67"/>
      <c r="W654" s="67"/>
      <c r="X654" s="67"/>
    </row>
    <row r="655">
      <c r="U655" s="67"/>
      <c r="V655" s="67"/>
      <c r="W655" s="67"/>
      <c r="X655" s="67"/>
    </row>
    <row r="656">
      <c r="U656" s="67"/>
      <c r="V656" s="67"/>
      <c r="W656" s="67"/>
      <c r="X656" s="67"/>
    </row>
    <row r="657">
      <c r="U657" s="67"/>
      <c r="V657" s="67"/>
      <c r="W657" s="67"/>
      <c r="X657" s="67"/>
    </row>
    <row r="658">
      <c r="U658" s="67"/>
      <c r="V658" s="67"/>
      <c r="W658" s="67"/>
      <c r="X658" s="67"/>
    </row>
    <row r="659">
      <c r="U659" s="67"/>
      <c r="V659" s="67"/>
      <c r="W659" s="67"/>
      <c r="X659" s="67"/>
    </row>
    <row r="660">
      <c r="U660" s="67"/>
      <c r="V660" s="67"/>
      <c r="W660" s="67"/>
      <c r="X660" s="67"/>
    </row>
    <row r="661">
      <c r="U661" s="67"/>
      <c r="V661" s="67"/>
      <c r="W661" s="67"/>
      <c r="X661" s="67"/>
    </row>
    <row r="662">
      <c r="U662" s="67"/>
      <c r="V662" s="67"/>
      <c r="W662" s="67"/>
      <c r="X662" s="67"/>
    </row>
    <row r="663">
      <c r="U663" s="67"/>
      <c r="V663" s="67"/>
      <c r="W663" s="67"/>
      <c r="X663" s="67"/>
    </row>
    <row r="664">
      <c r="U664" s="67"/>
      <c r="V664" s="67"/>
      <c r="W664" s="67"/>
      <c r="X664" s="67"/>
    </row>
    <row r="665">
      <c r="U665" s="67"/>
      <c r="V665" s="67"/>
      <c r="W665" s="67"/>
      <c r="X665" s="67"/>
    </row>
    <row r="666">
      <c r="U666" s="67"/>
      <c r="V666" s="67"/>
      <c r="W666" s="67"/>
      <c r="X666" s="67"/>
    </row>
    <row r="667">
      <c r="U667" s="67"/>
      <c r="V667" s="67"/>
      <c r="W667" s="67"/>
      <c r="X667" s="67"/>
    </row>
    <row r="668">
      <c r="U668" s="67"/>
      <c r="V668" s="67"/>
      <c r="W668" s="67"/>
      <c r="X668" s="67"/>
    </row>
    <row r="669">
      <c r="U669" s="67"/>
      <c r="V669" s="67"/>
      <c r="W669" s="67"/>
      <c r="X669" s="67"/>
    </row>
    <row r="670">
      <c r="U670" s="67"/>
      <c r="V670" s="67"/>
      <c r="W670" s="67"/>
      <c r="X670" s="67"/>
    </row>
    <row r="671">
      <c r="U671" s="67"/>
      <c r="V671" s="67"/>
      <c r="W671" s="67"/>
      <c r="X671" s="67"/>
    </row>
    <row r="672">
      <c r="U672" s="67"/>
      <c r="V672" s="67"/>
      <c r="W672" s="67"/>
      <c r="X672" s="67"/>
    </row>
    <row r="673">
      <c r="U673" s="67"/>
      <c r="V673" s="67"/>
      <c r="W673" s="67"/>
      <c r="X673" s="67"/>
    </row>
    <row r="674">
      <c r="U674" s="67"/>
      <c r="V674" s="67"/>
      <c r="W674" s="67"/>
      <c r="X674" s="67"/>
    </row>
    <row r="675">
      <c r="U675" s="67"/>
      <c r="V675" s="67"/>
      <c r="W675" s="67"/>
      <c r="X675" s="67"/>
    </row>
    <row r="676">
      <c r="U676" s="67"/>
      <c r="V676" s="67"/>
      <c r="W676" s="67"/>
      <c r="X676" s="67"/>
    </row>
    <row r="677">
      <c r="U677" s="67"/>
      <c r="V677" s="67"/>
      <c r="W677" s="67"/>
      <c r="X677" s="67"/>
    </row>
    <row r="678">
      <c r="U678" s="67"/>
      <c r="V678" s="67"/>
      <c r="W678" s="67"/>
      <c r="X678" s="67"/>
    </row>
    <row r="679">
      <c r="U679" s="67"/>
      <c r="V679" s="67"/>
      <c r="W679" s="67"/>
      <c r="X679" s="67"/>
    </row>
    <row r="680">
      <c r="U680" s="67"/>
      <c r="V680" s="67"/>
      <c r="W680" s="67"/>
      <c r="X680" s="67"/>
    </row>
    <row r="681">
      <c r="U681" s="67"/>
      <c r="V681" s="67"/>
      <c r="W681" s="67"/>
      <c r="X681" s="67"/>
    </row>
    <row r="682">
      <c r="U682" s="67"/>
      <c r="V682" s="67"/>
      <c r="W682" s="67"/>
      <c r="X682" s="67"/>
    </row>
    <row r="683">
      <c r="U683" s="67"/>
      <c r="V683" s="67"/>
      <c r="W683" s="67"/>
      <c r="X683" s="67"/>
    </row>
    <row r="684">
      <c r="U684" s="67"/>
      <c r="V684" s="67"/>
      <c r="W684" s="67"/>
      <c r="X684" s="67"/>
    </row>
    <row r="685">
      <c r="U685" s="67"/>
      <c r="V685" s="67"/>
      <c r="W685" s="67"/>
      <c r="X685" s="67"/>
    </row>
    <row r="686">
      <c r="U686" s="67"/>
      <c r="V686" s="67"/>
      <c r="W686" s="67"/>
      <c r="X686" s="67"/>
    </row>
    <row r="687">
      <c r="U687" s="67"/>
      <c r="V687" s="67"/>
      <c r="W687" s="67"/>
      <c r="X687" s="67"/>
    </row>
    <row r="688">
      <c r="U688" s="67"/>
      <c r="V688" s="67"/>
      <c r="W688" s="67"/>
      <c r="X688" s="67"/>
    </row>
    <row r="689">
      <c r="U689" s="67"/>
      <c r="V689" s="67"/>
      <c r="W689" s="67"/>
      <c r="X689" s="67"/>
    </row>
    <row r="690">
      <c r="U690" s="67"/>
      <c r="V690" s="67"/>
      <c r="W690" s="67"/>
      <c r="X690" s="67"/>
    </row>
    <row r="691">
      <c r="U691" s="67"/>
      <c r="V691" s="67"/>
      <c r="W691" s="67"/>
      <c r="X691" s="67"/>
    </row>
    <row r="692">
      <c r="U692" s="67"/>
      <c r="V692" s="67"/>
      <c r="W692" s="67"/>
      <c r="X692" s="67"/>
    </row>
    <row r="693">
      <c r="U693" s="67"/>
      <c r="V693" s="67"/>
      <c r="W693" s="67"/>
      <c r="X693" s="67"/>
    </row>
    <row r="694">
      <c r="U694" s="67"/>
      <c r="V694" s="67"/>
      <c r="W694" s="67"/>
      <c r="X694" s="67"/>
    </row>
    <row r="695">
      <c r="U695" s="67"/>
      <c r="V695" s="67"/>
      <c r="W695" s="67"/>
      <c r="X695" s="67"/>
    </row>
    <row r="696">
      <c r="U696" s="67"/>
      <c r="V696" s="67"/>
      <c r="W696" s="67"/>
      <c r="X696" s="67"/>
    </row>
    <row r="697">
      <c r="U697" s="67"/>
      <c r="V697" s="67"/>
      <c r="W697" s="67"/>
      <c r="X697" s="67"/>
    </row>
    <row r="698">
      <c r="U698" s="67"/>
      <c r="V698" s="67"/>
      <c r="W698" s="67"/>
      <c r="X698" s="67"/>
    </row>
    <row r="699">
      <c r="U699" s="67"/>
      <c r="V699" s="67"/>
      <c r="W699" s="67"/>
      <c r="X699" s="67"/>
    </row>
    <row r="700">
      <c r="U700" s="67"/>
      <c r="V700" s="67"/>
      <c r="W700" s="67"/>
      <c r="X700" s="67"/>
    </row>
    <row r="701">
      <c r="U701" s="67"/>
      <c r="V701" s="67"/>
      <c r="W701" s="67"/>
      <c r="X701" s="67"/>
    </row>
    <row r="702">
      <c r="U702" s="67"/>
      <c r="V702" s="67"/>
      <c r="W702" s="67"/>
      <c r="X702" s="67"/>
    </row>
    <row r="703">
      <c r="U703" s="67"/>
      <c r="V703" s="67"/>
      <c r="W703" s="67"/>
      <c r="X703" s="67"/>
    </row>
    <row r="704">
      <c r="U704" s="67"/>
      <c r="V704" s="67"/>
      <c r="W704" s="67"/>
      <c r="X704" s="67"/>
    </row>
    <row r="705">
      <c r="U705" s="67"/>
      <c r="V705" s="67"/>
      <c r="W705" s="67"/>
      <c r="X705" s="67"/>
    </row>
    <row r="706">
      <c r="U706" s="67"/>
      <c r="V706" s="67"/>
      <c r="W706" s="67"/>
      <c r="X706" s="67"/>
    </row>
    <row r="707">
      <c r="U707" s="67"/>
      <c r="V707" s="67"/>
      <c r="W707" s="67"/>
      <c r="X707" s="67"/>
    </row>
    <row r="708">
      <c r="U708" s="67"/>
      <c r="V708" s="67"/>
      <c r="W708" s="67"/>
      <c r="X708" s="67"/>
    </row>
    <row r="709">
      <c r="U709" s="67"/>
      <c r="V709" s="67"/>
      <c r="W709" s="67"/>
      <c r="X709" s="67"/>
    </row>
    <row r="710">
      <c r="U710" s="67"/>
      <c r="V710" s="67"/>
      <c r="W710" s="67"/>
      <c r="X710" s="67"/>
    </row>
    <row r="711">
      <c r="U711" s="67"/>
      <c r="V711" s="67"/>
      <c r="W711" s="67"/>
      <c r="X711" s="67"/>
    </row>
    <row r="712">
      <c r="U712" s="67"/>
      <c r="V712" s="67"/>
      <c r="W712" s="67"/>
      <c r="X712" s="67"/>
    </row>
    <row r="713">
      <c r="U713" s="67"/>
      <c r="V713" s="67"/>
      <c r="W713" s="67"/>
      <c r="X713" s="67"/>
    </row>
    <row r="714">
      <c r="U714" s="67"/>
      <c r="V714" s="67"/>
      <c r="W714" s="67"/>
      <c r="X714" s="67"/>
    </row>
    <row r="715">
      <c r="U715" s="67"/>
      <c r="V715" s="67"/>
      <c r="W715" s="67"/>
      <c r="X715" s="67"/>
    </row>
    <row r="716">
      <c r="U716" s="67"/>
      <c r="V716" s="67"/>
      <c r="W716" s="67"/>
      <c r="X716" s="67"/>
    </row>
    <row r="717">
      <c r="U717" s="67"/>
      <c r="V717" s="67"/>
      <c r="W717" s="67"/>
      <c r="X717" s="67"/>
    </row>
    <row r="718">
      <c r="U718" s="67"/>
      <c r="V718" s="67"/>
      <c r="W718" s="67"/>
      <c r="X718" s="67"/>
    </row>
    <row r="719">
      <c r="U719" s="67"/>
      <c r="V719" s="67"/>
      <c r="W719" s="67"/>
      <c r="X719" s="67"/>
    </row>
    <row r="720">
      <c r="U720" s="67"/>
      <c r="V720" s="67"/>
      <c r="W720" s="67"/>
      <c r="X720" s="67"/>
    </row>
    <row r="721">
      <c r="U721" s="67"/>
      <c r="V721" s="67"/>
      <c r="W721" s="67"/>
      <c r="X721" s="67"/>
    </row>
    <row r="722">
      <c r="U722" s="67"/>
      <c r="V722" s="67"/>
      <c r="W722" s="67"/>
      <c r="X722" s="67"/>
    </row>
    <row r="723">
      <c r="U723" s="67"/>
      <c r="V723" s="67"/>
      <c r="W723" s="67"/>
      <c r="X723" s="67"/>
    </row>
    <row r="724">
      <c r="U724" s="67"/>
      <c r="V724" s="67"/>
      <c r="W724" s="67"/>
      <c r="X724" s="67"/>
    </row>
    <row r="725">
      <c r="U725" s="67"/>
      <c r="V725" s="67"/>
      <c r="W725" s="67"/>
      <c r="X725" s="67"/>
    </row>
    <row r="726">
      <c r="U726" s="67"/>
      <c r="V726" s="67"/>
      <c r="W726" s="67"/>
      <c r="X726" s="67"/>
    </row>
    <row r="727">
      <c r="U727" s="67"/>
      <c r="V727" s="67"/>
      <c r="W727" s="67"/>
      <c r="X727" s="67"/>
    </row>
    <row r="728">
      <c r="U728" s="67"/>
      <c r="V728" s="67"/>
      <c r="W728" s="67"/>
      <c r="X728" s="67"/>
    </row>
    <row r="729">
      <c r="U729" s="67"/>
      <c r="V729" s="67"/>
      <c r="W729" s="67"/>
      <c r="X729" s="67"/>
    </row>
    <row r="730">
      <c r="U730" s="67"/>
      <c r="V730" s="67"/>
      <c r="W730" s="67"/>
      <c r="X730" s="67"/>
    </row>
    <row r="731">
      <c r="U731" s="67"/>
      <c r="V731" s="67"/>
      <c r="W731" s="67"/>
      <c r="X731" s="67"/>
    </row>
    <row r="732">
      <c r="U732" s="67"/>
      <c r="V732" s="67"/>
      <c r="W732" s="67"/>
      <c r="X732" s="67"/>
    </row>
    <row r="733">
      <c r="U733" s="67"/>
      <c r="V733" s="67"/>
      <c r="W733" s="67"/>
      <c r="X733" s="67"/>
    </row>
    <row r="734">
      <c r="U734" s="67"/>
      <c r="V734" s="67"/>
      <c r="W734" s="67"/>
      <c r="X734" s="67"/>
    </row>
    <row r="735">
      <c r="U735" s="67"/>
      <c r="V735" s="67"/>
      <c r="W735" s="67"/>
      <c r="X735" s="67"/>
    </row>
    <row r="736">
      <c r="U736" s="67"/>
      <c r="V736" s="67"/>
      <c r="W736" s="67"/>
      <c r="X736" s="67"/>
    </row>
    <row r="737">
      <c r="U737" s="67"/>
      <c r="V737" s="67"/>
      <c r="W737" s="67"/>
      <c r="X737" s="67"/>
    </row>
    <row r="738">
      <c r="U738" s="67"/>
      <c r="V738" s="67"/>
      <c r="W738" s="67"/>
      <c r="X738" s="67"/>
    </row>
    <row r="739">
      <c r="U739" s="67"/>
      <c r="V739" s="67"/>
      <c r="W739" s="67"/>
      <c r="X739" s="67"/>
    </row>
    <row r="740">
      <c r="U740" s="67"/>
      <c r="V740" s="67"/>
      <c r="W740" s="67"/>
      <c r="X740" s="67"/>
    </row>
    <row r="741">
      <c r="U741" s="67"/>
      <c r="V741" s="67"/>
      <c r="W741" s="67"/>
      <c r="X741" s="67"/>
    </row>
    <row r="742">
      <c r="U742" s="67"/>
      <c r="V742" s="67"/>
      <c r="W742" s="67"/>
      <c r="X742" s="67"/>
    </row>
    <row r="743">
      <c r="U743" s="67"/>
      <c r="V743" s="67"/>
      <c r="W743" s="67"/>
      <c r="X743" s="67"/>
    </row>
    <row r="744">
      <c r="U744" s="67"/>
      <c r="V744" s="67"/>
      <c r="W744" s="67"/>
      <c r="X744" s="67"/>
    </row>
    <row r="745">
      <c r="U745" s="67"/>
      <c r="V745" s="67"/>
      <c r="W745" s="67"/>
      <c r="X745" s="67"/>
    </row>
    <row r="746">
      <c r="U746" s="67"/>
      <c r="V746" s="67"/>
      <c r="W746" s="67"/>
      <c r="X746" s="67"/>
    </row>
    <row r="747">
      <c r="U747" s="67"/>
      <c r="V747" s="67"/>
      <c r="W747" s="67"/>
      <c r="X747" s="67"/>
    </row>
    <row r="748">
      <c r="U748" s="67"/>
      <c r="V748" s="67"/>
      <c r="W748" s="67"/>
      <c r="X748" s="67"/>
    </row>
    <row r="749">
      <c r="U749" s="67"/>
      <c r="V749" s="67"/>
      <c r="W749" s="67"/>
      <c r="X749" s="67"/>
    </row>
    <row r="750">
      <c r="U750" s="67"/>
      <c r="V750" s="67"/>
      <c r="W750" s="67"/>
      <c r="X750" s="67"/>
    </row>
    <row r="751">
      <c r="U751" s="67"/>
      <c r="V751" s="67"/>
      <c r="W751" s="67"/>
      <c r="X751" s="67"/>
    </row>
    <row r="752">
      <c r="U752" s="67"/>
      <c r="V752" s="67"/>
      <c r="W752" s="67"/>
      <c r="X752" s="67"/>
    </row>
    <row r="753">
      <c r="U753" s="67"/>
      <c r="V753" s="67"/>
      <c r="W753" s="67"/>
      <c r="X753" s="67"/>
    </row>
    <row r="754">
      <c r="U754" s="67"/>
      <c r="V754" s="67"/>
      <c r="W754" s="67"/>
      <c r="X754" s="67"/>
    </row>
    <row r="755">
      <c r="U755" s="67"/>
      <c r="V755" s="67"/>
      <c r="W755" s="67"/>
      <c r="X755" s="67"/>
    </row>
    <row r="756">
      <c r="U756" s="67"/>
      <c r="V756" s="67"/>
      <c r="W756" s="67"/>
      <c r="X756" s="67"/>
    </row>
    <row r="757">
      <c r="U757" s="67"/>
      <c r="V757" s="67"/>
      <c r="W757" s="67"/>
      <c r="X757" s="67"/>
    </row>
    <row r="758">
      <c r="U758" s="67"/>
      <c r="V758" s="67"/>
      <c r="W758" s="67"/>
      <c r="X758" s="67"/>
    </row>
    <row r="759">
      <c r="U759" s="67"/>
      <c r="V759" s="67"/>
      <c r="W759" s="67"/>
      <c r="X759" s="67"/>
    </row>
    <row r="760">
      <c r="U760" s="67"/>
      <c r="V760" s="67"/>
      <c r="W760" s="67"/>
      <c r="X760" s="67"/>
    </row>
    <row r="761">
      <c r="U761" s="67"/>
      <c r="V761" s="67"/>
      <c r="W761" s="67"/>
      <c r="X761" s="67"/>
    </row>
    <row r="762">
      <c r="U762" s="67"/>
      <c r="V762" s="67"/>
      <c r="W762" s="67"/>
      <c r="X762" s="67"/>
    </row>
    <row r="763">
      <c r="U763" s="67"/>
      <c r="V763" s="67"/>
      <c r="W763" s="67"/>
      <c r="X763" s="67"/>
    </row>
    <row r="764">
      <c r="U764" s="67"/>
      <c r="V764" s="67"/>
      <c r="W764" s="67"/>
      <c r="X764" s="67"/>
    </row>
    <row r="765">
      <c r="U765" s="67"/>
      <c r="V765" s="67"/>
      <c r="W765" s="67"/>
      <c r="X765" s="67"/>
    </row>
    <row r="766">
      <c r="U766" s="67"/>
      <c r="V766" s="67"/>
      <c r="W766" s="67"/>
      <c r="X766" s="67"/>
    </row>
    <row r="767">
      <c r="U767" s="67"/>
      <c r="V767" s="67"/>
      <c r="W767" s="67"/>
      <c r="X767" s="67"/>
    </row>
    <row r="768">
      <c r="U768" s="67"/>
      <c r="V768" s="67"/>
      <c r="W768" s="67"/>
      <c r="X768" s="67"/>
    </row>
    <row r="769">
      <c r="U769" s="67"/>
      <c r="V769" s="67"/>
      <c r="W769" s="67"/>
      <c r="X769" s="67"/>
    </row>
    <row r="770">
      <c r="U770" s="67"/>
      <c r="V770" s="67"/>
      <c r="W770" s="67"/>
      <c r="X770" s="67"/>
    </row>
    <row r="771">
      <c r="U771" s="67"/>
      <c r="V771" s="67"/>
      <c r="W771" s="67"/>
      <c r="X771" s="67"/>
    </row>
    <row r="772">
      <c r="U772" s="67"/>
      <c r="V772" s="67"/>
      <c r="W772" s="67"/>
      <c r="X772" s="67"/>
    </row>
    <row r="773">
      <c r="U773" s="67"/>
      <c r="V773" s="67"/>
      <c r="W773" s="67"/>
      <c r="X773" s="67"/>
    </row>
    <row r="774">
      <c r="U774" s="67"/>
      <c r="V774" s="67"/>
      <c r="W774" s="67"/>
      <c r="X774" s="67"/>
    </row>
    <row r="775">
      <c r="U775" s="67"/>
      <c r="V775" s="67"/>
      <c r="W775" s="67"/>
      <c r="X775" s="67"/>
    </row>
    <row r="776">
      <c r="U776" s="67"/>
      <c r="V776" s="67"/>
      <c r="W776" s="67"/>
      <c r="X776" s="67"/>
    </row>
    <row r="777">
      <c r="U777" s="67"/>
      <c r="V777" s="67"/>
      <c r="W777" s="67"/>
      <c r="X777" s="67"/>
    </row>
    <row r="778">
      <c r="U778" s="67"/>
      <c r="V778" s="67"/>
      <c r="W778" s="67"/>
      <c r="X778" s="67"/>
    </row>
    <row r="779">
      <c r="U779" s="67"/>
      <c r="V779" s="67"/>
      <c r="W779" s="67"/>
      <c r="X779" s="67"/>
    </row>
    <row r="780">
      <c r="U780" s="67"/>
      <c r="V780" s="67"/>
      <c r="W780" s="67"/>
      <c r="X780" s="67"/>
    </row>
    <row r="781">
      <c r="U781" s="67"/>
      <c r="V781" s="67"/>
      <c r="W781" s="67"/>
      <c r="X781" s="67"/>
    </row>
    <row r="782">
      <c r="U782" s="67"/>
      <c r="V782" s="67"/>
      <c r="W782" s="67"/>
      <c r="X782" s="67"/>
    </row>
    <row r="783">
      <c r="U783" s="67"/>
      <c r="V783" s="67"/>
      <c r="W783" s="67"/>
      <c r="X783" s="67"/>
    </row>
    <row r="784">
      <c r="U784" s="67"/>
      <c r="V784" s="67"/>
      <c r="W784" s="67"/>
      <c r="X784" s="67"/>
    </row>
    <row r="785">
      <c r="U785" s="67"/>
      <c r="V785" s="67"/>
      <c r="W785" s="67"/>
      <c r="X785" s="67"/>
    </row>
    <row r="786">
      <c r="U786" s="67"/>
      <c r="V786" s="67"/>
      <c r="W786" s="67"/>
      <c r="X786" s="67"/>
    </row>
    <row r="787">
      <c r="U787" s="67"/>
      <c r="V787" s="67"/>
      <c r="W787" s="67"/>
      <c r="X787" s="67"/>
    </row>
    <row r="788">
      <c r="U788" s="67"/>
      <c r="V788" s="67"/>
      <c r="W788" s="67"/>
      <c r="X788" s="67"/>
    </row>
    <row r="789">
      <c r="U789" s="67"/>
      <c r="V789" s="67"/>
      <c r="W789" s="67"/>
      <c r="X789" s="67"/>
    </row>
    <row r="790">
      <c r="U790" s="67"/>
      <c r="V790" s="67"/>
      <c r="W790" s="67"/>
      <c r="X790" s="67"/>
    </row>
    <row r="791">
      <c r="U791" s="67"/>
      <c r="V791" s="67"/>
      <c r="W791" s="67"/>
      <c r="X791" s="67"/>
    </row>
    <row r="792">
      <c r="U792" s="67"/>
      <c r="V792" s="67"/>
      <c r="W792" s="67"/>
      <c r="X792" s="67"/>
    </row>
    <row r="793">
      <c r="U793" s="67"/>
      <c r="V793" s="67"/>
      <c r="W793" s="67"/>
      <c r="X793" s="67"/>
    </row>
    <row r="794">
      <c r="U794" s="67"/>
      <c r="V794" s="67"/>
      <c r="W794" s="67"/>
      <c r="X794" s="67"/>
    </row>
    <row r="795">
      <c r="U795" s="67"/>
      <c r="V795" s="67"/>
      <c r="W795" s="67"/>
      <c r="X795" s="67"/>
    </row>
    <row r="796">
      <c r="U796" s="67"/>
      <c r="V796" s="67"/>
      <c r="W796" s="67"/>
      <c r="X796" s="67"/>
    </row>
    <row r="797">
      <c r="U797" s="67"/>
      <c r="V797" s="67"/>
      <c r="W797" s="67"/>
      <c r="X797" s="67"/>
    </row>
    <row r="798">
      <c r="U798" s="67"/>
      <c r="V798" s="67"/>
      <c r="W798" s="67"/>
      <c r="X798" s="67"/>
    </row>
    <row r="799">
      <c r="U799" s="67"/>
      <c r="V799" s="67"/>
      <c r="W799" s="67"/>
      <c r="X799" s="67"/>
    </row>
    <row r="800">
      <c r="U800" s="67"/>
      <c r="V800" s="67"/>
      <c r="W800" s="67"/>
      <c r="X800" s="67"/>
    </row>
    <row r="801">
      <c r="U801" s="67"/>
      <c r="V801" s="67"/>
      <c r="W801" s="67"/>
      <c r="X801" s="67"/>
    </row>
    <row r="802">
      <c r="U802" s="67"/>
      <c r="V802" s="67"/>
      <c r="W802" s="67"/>
      <c r="X802" s="67"/>
    </row>
    <row r="803">
      <c r="U803" s="67"/>
      <c r="V803" s="67"/>
      <c r="W803" s="67"/>
      <c r="X803" s="67"/>
    </row>
    <row r="804">
      <c r="U804" s="67"/>
      <c r="V804" s="67"/>
      <c r="W804" s="67"/>
      <c r="X804" s="67"/>
    </row>
    <row r="805">
      <c r="U805" s="67"/>
      <c r="V805" s="67"/>
      <c r="W805" s="67"/>
      <c r="X805" s="67"/>
    </row>
    <row r="806">
      <c r="U806" s="67"/>
      <c r="V806" s="67"/>
      <c r="W806" s="67"/>
      <c r="X806" s="67"/>
    </row>
    <row r="807">
      <c r="U807" s="67"/>
      <c r="V807" s="67"/>
      <c r="W807" s="67"/>
      <c r="X807" s="67"/>
    </row>
    <row r="808">
      <c r="U808" s="67"/>
      <c r="V808" s="67"/>
      <c r="W808" s="67"/>
      <c r="X808" s="67"/>
    </row>
    <row r="809">
      <c r="U809" s="67"/>
      <c r="V809" s="67"/>
      <c r="W809" s="67"/>
      <c r="X809" s="67"/>
    </row>
    <row r="810">
      <c r="U810" s="67"/>
      <c r="V810" s="67"/>
      <c r="W810" s="67"/>
      <c r="X810" s="67"/>
    </row>
    <row r="811">
      <c r="U811" s="67"/>
      <c r="V811" s="67"/>
      <c r="W811" s="67"/>
      <c r="X811" s="67"/>
    </row>
    <row r="812">
      <c r="U812" s="67"/>
      <c r="V812" s="67"/>
      <c r="W812" s="67"/>
      <c r="X812" s="67"/>
    </row>
    <row r="813">
      <c r="U813" s="67"/>
      <c r="V813" s="67"/>
      <c r="W813" s="67"/>
      <c r="X813" s="67"/>
    </row>
    <row r="814">
      <c r="U814" s="67"/>
      <c r="V814" s="67"/>
      <c r="W814" s="67"/>
      <c r="X814" s="67"/>
    </row>
    <row r="815">
      <c r="U815" s="67"/>
      <c r="V815" s="67"/>
      <c r="W815" s="67"/>
      <c r="X815" s="67"/>
    </row>
    <row r="816">
      <c r="U816" s="67"/>
      <c r="V816" s="67"/>
      <c r="W816" s="67"/>
      <c r="X816" s="67"/>
    </row>
    <row r="817">
      <c r="U817" s="67"/>
      <c r="V817" s="67"/>
      <c r="W817" s="67"/>
      <c r="X817" s="67"/>
    </row>
    <row r="818">
      <c r="U818" s="67"/>
      <c r="V818" s="67"/>
      <c r="W818" s="67"/>
      <c r="X818" s="67"/>
    </row>
    <row r="819">
      <c r="U819" s="67"/>
      <c r="V819" s="67"/>
      <c r="W819" s="67"/>
      <c r="X819" s="67"/>
    </row>
    <row r="820">
      <c r="U820" s="67"/>
      <c r="V820" s="67"/>
      <c r="W820" s="67"/>
      <c r="X820" s="67"/>
    </row>
    <row r="821">
      <c r="U821" s="67"/>
      <c r="V821" s="67"/>
      <c r="W821" s="67"/>
      <c r="X821" s="67"/>
    </row>
    <row r="822">
      <c r="U822" s="67"/>
      <c r="V822" s="67"/>
      <c r="W822" s="67"/>
      <c r="X822" s="67"/>
    </row>
    <row r="823">
      <c r="U823" s="67"/>
      <c r="V823" s="67"/>
      <c r="W823" s="67"/>
      <c r="X823" s="67"/>
    </row>
    <row r="824">
      <c r="U824" s="67"/>
      <c r="V824" s="67"/>
      <c r="W824" s="67"/>
      <c r="X824" s="67"/>
    </row>
    <row r="825">
      <c r="U825" s="67"/>
      <c r="V825" s="67"/>
      <c r="W825" s="67"/>
      <c r="X825" s="67"/>
    </row>
    <row r="826">
      <c r="U826" s="67"/>
      <c r="V826" s="67"/>
      <c r="W826" s="67"/>
      <c r="X826" s="67"/>
    </row>
    <row r="827">
      <c r="U827" s="67"/>
      <c r="V827" s="67"/>
      <c r="W827" s="67"/>
      <c r="X827" s="67"/>
    </row>
    <row r="828">
      <c r="U828" s="67"/>
      <c r="V828" s="67"/>
      <c r="W828" s="67"/>
      <c r="X828" s="67"/>
    </row>
    <row r="829">
      <c r="U829" s="67"/>
      <c r="V829" s="67"/>
      <c r="W829" s="67"/>
      <c r="X829" s="67"/>
    </row>
    <row r="830">
      <c r="U830" s="67"/>
      <c r="V830" s="67"/>
      <c r="W830" s="67"/>
      <c r="X830" s="67"/>
    </row>
    <row r="831">
      <c r="U831" s="67"/>
      <c r="V831" s="67"/>
      <c r="W831" s="67"/>
      <c r="X831" s="67"/>
    </row>
    <row r="832">
      <c r="U832" s="67"/>
      <c r="V832" s="67"/>
      <c r="W832" s="67"/>
      <c r="X832" s="67"/>
    </row>
    <row r="833">
      <c r="U833" s="67"/>
      <c r="V833" s="67"/>
      <c r="W833" s="67"/>
      <c r="X833" s="67"/>
    </row>
    <row r="834">
      <c r="U834" s="67"/>
      <c r="V834" s="67"/>
      <c r="W834" s="67"/>
      <c r="X834" s="67"/>
    </row>
    <row r="835">
      <c r="U835" s="67"/>
      <c r="V835" s="67"/>
      <c r="W835" s="67"/>
      <c r="X835" s="67"/>
    </row>
    <row r="836">
      <c r="U836" s="67"/>
      <c r="V836" s="67"/>
      <c r="W836" s="67"/>
      <c r="X836" s="67"/>
    </row>
    <row r="837">
      <c r="U837" s="67"/>
      <c r="V837" s="67"/>
      <c r="W837" s="67"/>
      <c r="X837" s="67"/>
    </row>
    <row r="838">
      <c r="U838" s="67"/>
      <c r="V838" s="67"/>
      <c r="W838" s="67"/>
      <c r="X838" s="67"/>
    </row>
    <row r="839">
      <c r="U839" s="67"/>
      <c r="V839" s="67"/>
      <c r="W839" s="67"/>
      <c r="X839" s="67"/>
    </row>
    <row r="840">
      <c r="U840" s="67"/>
      <c r="V840" s="67"/>
      <c r="W840" s="67"/>
      <c r="X840" s="67"/>
    </row>
    <row r="841">
      <c r="U841" s="67"/>
      <c r="V841" s="67"/>
      <c r="W841" s="67"/>
      <c r="X841" s="67"/>
    </row>
    <row r="842">
      <c r="U842" s="67"/>
      <c r="V842" s="67"/>
      <c r="W842" s="67"/>
      <c r="X842" s="67"/>
    </row>
    <row r="843">
      <c r="U843" s="67"/>
      <c r="V843" s="67"/>
      <c r="W843" s="67"/>
      <c r="X843" s="67"/>
    </row>
    <row r="844">
      <c r="U844" s="67"/>
      <c r="V844" s="67"/>
      <c r="W844" s="67"/>
      <c r="X844" s="67"/>
    </row>
    <row r="845">
      <c r="U845" s="67"/>
      <c r="V845" s="67"/>
      <c r="W845" s="67"/>
      <c r="X845" s="67"/>
    </row>
    <row r="846">
      <c r="U846" s="67"/>
      <c r="V846" s="67"/>
      <c r="W846" s="67"/>
      <c r="X846" s="67"/>
    </row>
    <row r="847">
      <c r="U847" s="67"/>
      <c r="V847" s="67"/>
      <c r="W847" s="67"/>
      <c r="X847" s="67"/>
    </row>
    <row r="848">
      <c r="U848" s="67"/>
      <c r="V848" s="67"/>
      <c r="W848" s="67"/>
      <c r="X848" s="67"/>
    </row>
    <row r="849">
      <c r="U849" s="67"/>
      <c r="V849" s="67"/>
      <c r="W849" s="67"/>
      <c r="X849" s="67"/>
    </row>
    <row r="850">
      <c r="U850" s="67"/>
      <c r="V850" s="67"/>
      <c r="W850" s="67"/>
      <c r="X850" s="67"/>
    </row>
    <row r="851">
      <c r="U851" s="67"/>
      <c r="V851" s="67"/>
      <c r="W851" s="67"/>
      <c r="X851" s="67"/>
    </row>
    <row r="852">
      <c r="U852" s="67"/>
      <c r="V852" s="67"/>
      <c r="W852" s="67"/>
      <c r="X852" s="67"/>
    </row>
    <row r="853">
      <c r="U853" s="67"/>
      <c r="V853" s="67"/>
      <c r="W853" s="67"/>
      <c r="X853" s="67"/>
    </row>
    <row r="854">
      <c r="U854" s="67"/>
      <c r="V854" s="67"/>
      <c r="W854" s="67"/>
      <c r="X854" s="67"/>
    </row>
    <row r="855">
      <c r="U855" s="67"/>
      <c r="V855" s="67"/>
      <c r="W855" s="67"/>
      <c r="X855" s="67"/>
    </row>
    <row r="856">
      <c r="U856" s="67"/>
      <c r="V856" s="67"/>
      <c r="W856" s="67"/>
      <c r="X856" s="67"/>
    </row>
    <row r="857">
      <c r="U857" s="67"/>
      <c r="V857" s="67"/>
      <c r="W857" s="67"/>
      <c r="X857" s="67"/>
    </row>
    <row r="858">
      <c r="U858" s="67"/>
      <c r="V858" s="67"/>
      <c r="W858" s="67"/>
      <c r="X858" s="67"/>
    </row>
    <row r="859">
      <c r="U859" s="67"/>
      <c r="V859" s="67"/>
      <c r="W859" s="67"/>
      <c r="X859" s="67"/>
    </row>
    <row r="860">
      <c r="U860" s="67"/>
      <c r="V860" s="67"/>
      <c r="W860" s="67"/>
      <c r="X860" s="67"/>
    </row>
    <row r="861">
      <c r="U861" s="67"/>
      <c r="V861" s="67"/>
      <c r="W861" s="67"/>
      <c r="X861" s="67"/>
    </row>
    <row r="862">
      <c r="U862" s="67"/>
      <c r="V862" s="67"/>
      <c r="W862" s="67"/>
      <c r="X862" s="67"/>
    </row>
    <row r="863">
      <c r="U863" s="67"/>
      <c r="V863" s="67"/>
      <c r="W863" s="67"/>
      <c r="X863" s="67"/>
    </row>
    <row r="864">
      <c r="U864" s="67"/>
      <c r="V864" s="67"/>
      <c r="W864" s="67"/>
      <c r="X864" s="67"/>
    </row>
    <row r="865">
      <c r="U865" s="67"/>
      <c r="V865" s="67"/>
      <c r="W865" s="67"/>
      <c r="X865" s="67"/>
    </row>
    <row r="866">
      <c r="U866" s="67"/>
      <c r="V866" s="67"/>
      <c r="W866" s="67"/>
      <c r="X866" s="67"/>
    </row>
    <row r="867">
      <c r="U867" s="67"/>
      <c r="V867" s="67"/>
      <c r="W867" s="67"/>
      <c r="X867" s="67"/>
    </row>
    <row r="868">
      <c r="U868" s="67"/>
      <c r="V868" s="67"/>
      <c r="W868" s="67"/>
      <c r="X868" s="67"/>
    </row>
    <row r="869">
      <c r="U869" s="67"/>
      <c r="V869" s="67"/>
      <c r="W869" s="67"/>
      <c r="X869" s="67"/>
    </row>
    <row r="870">
      <c r="U870" s="67"/>
      <c r="V870" s="67"/>
      <c r="W870" s="67"/>
      <c r="X870" s="67"/>
    </row>
    <row r="871">
      <c r="U871" s="67"/>
      <c r="V871" s="67"/>
      <c r="W871" s="67"/>
      <c r="X871" s="67"/>
    </row>
    <row r="872">
      <c r="U872" s="67"/>
      <c r="V872" s="67"/>
      <c r="W872" s="67"/>
      <c r="X872" s="67"/>
    </row>
    <row r="873">
      <c r="U873" s="67"/>
      <c r="V873" s="67"/>
      <c r="W873" s="67"/>
      <c r="X873" s="67"/>
    </row>
    <row r="874">
      <c r="U874" s="67"/>
      <c r="V874" s="67"/>
      <c r="W874" s="67"/>
      <c r="X874" s="67"/>
    </row>
    <row r="875">
      <c r="U875" s="67"/>
      <c r="V875" s="67"/>
      <c r="W875" s="67"/>
      <c r="X875" s="67"/>
    </row>
    <row r="876">
      <c r="U876" s="67"/>
      <c r="V876" s="67"/>
      <c r="W876" s="67"/>
      <c r="X876" s="67"/>
    </row>
    <row r="877">
      <c r="U877" s="67"/>
      <c r="V877" s="67"/>
      <c r="W877" s="67"/>
      <c r="X877" s="67"/>
    </row>
    <row r="878">
      <c r="U878" s="67"/>
      <c r="V878" s="67"/>
      <c r="W878" s="67"/>
      <c r="X878" s="67"/>
    </row>
    <row r="879">
      <c r="U879" s="67"/>
      <c r="V879" s="67"/>
      <c r="W879" s="67"/>
      <c r="X879" s="67"/>
    </row>
    <row r="880">
      <c r="U880" s="67"/>
      <c r="V880" s="67"/>
      <c r="W880" s="67"/>
      <c r="X880" s="67"/>
    </row>
    <row r="881">
      <c r="U881" s="67"/>
      <c r="V881" s="67"/>
      <c r="W881" s="67"/>
      <c r="X881" s="67"/>
    </row>
    <row r="882">
      <c r="U882" s="67"/>
      <c r="V882" s="67"/>
      <c r="W882" s="67"/>
      <c r="X882" s="67"/>
    </row>
    <row r="883">
      <c r="U883" s="67"/>
      <c r="V883" s="67"/>
      <c r="W883" s="67"/>
      <c r="X883" s="67"/>
    </row>
    <row r="884">
      <c r="U884" s="67"/>
      <c r="V884" s="67"/>
      <c r="W884" s="67"/>
      <c r="X884" s="67"/>
    </row>
    <row r="885">
      <c r="U885" s="67"/>
      <c r="V885" s="67"/>
      <c r="W885" s="67"/>
      <c r="X885" s="67"/>
    </row>
    <row r="886">
      <c r="U886" s="67"/>
      <c r="V886" s="67"/>
      <c r="W886" s="67"/>
      <c r="X886" s="67"/>
    </row>
    <row r="887">
      <c r="U887" s="67"/>
      <c r="V887" s="67"/>
      <c r="W887" s="67"/>
      <c r="X887" s="67"/>
    </row>
    <row r="888">
      <c r="U888" s="67"/>
      <c r="V888" s="67"/>
      <c r="W888" s="67"/>
      <c r="X888" s="67"/>
    </row>
    <row r="889">
      <c r="U889" s="67"/>
      <c r="V889" s="67"/>
      <c r="W889" s="67"/>
      <c r="X889" s="67"/>
    </row>
    <row r="890">
      <c r="U890" s="67"/>
      <c r="V890" s="67"/>
      <c r="W890" s="67"/>
      <c r="X890" s="67"/>
    </row>
    <row r="891">
      <c r="U891" s="67"/>
      <c r="V891" s="67"/>
      <c r="W891" s="67"/>
      <c r="X891" s="67"/>
    </row>
    <row r="892">
      <c r="U892" s="67"/>
      <c r="V892" s="67"/>
      <c r="W892" s="67"/>
      <c r="X892" s="67"/>
    </row>
    <row r="893">
      <c r="U893" s="67"/>
      <c r="V893" s="67"/>
      <c r="W893" s="67"/>
      <c r="X893" s="67"/>
    </row>
    <row r="894">
      <c r="U894" s="67"/>
      <c r="V894" s="67"/>
      <c r="W894" s="67"/>
      <c r="X894" s="67"/>
    </row>
    <row r="895">
      <c r="U895" s="67"/>
      <c r="V895" s="67"/>
      <c r="W895" s="67"/>
      <c r="X895" s="67"/>
    </row>
    <row r="896">
      <c r="U896" s="67"/>
      <c r="V896" s="67"/>
      <c r="W896" s="67"/>
      <c r="X896" s="67"/>
    </row>
    <row r="897">
      <c r="U897" s="67"/>
      <c r="V897" s="67"/>
      <c r="W897" s="67"/>
      <c r="X897" s="67"/>
    </row>
    <row r="898">
      <c r="U898" s="67"/>
      <c r="V898" s="67"/>
      <c r="W898" s="67"/>
      <c r="X898" s="67"/>
    </row>
    <row r="899">
      <c r="U899" s="67"/>
      <c r="V899" s="67"/>
      <c r="W899" s="67"/>
      <c r="X899" s="67"/>
    </row>
    <row r="900">
      <c r="U900" s="67"/>
      <c r="V900" s="67"/>
      <c r="W900" s="67"/>
      <c r="X900" s="67"/>
    </row>
    <row r="901">
      <c r="U901" s="67"/>
      <c r="V901" s="67"/>
      <c r="W901" s="67"/>
      <c r="X901" s="67"/>
    </row>
    <row r="902">
      <c r="U902" s="67"/>
      <c r="V902" s="67"/>
      <c r="W902" s="67"/>
      <c r="X902" s="67"/>
    </row>
    <row r="903">
      <c r="U903" s="67"/>
      <c r="V903" s="67"/>
      <c r="W903" s="67"/>
      <c r="X903" s="67"/>
    </row>
    <row r="904">
      <c r="U904" s="67"/>
      <c r="V904" s="67"/>
      <c r="W904" s="67"/>
      <c r="X904" s="67"/>
    </row>
    <row r="905">
      <c r="U905" s="67"/>
      <c r="V905" s="67"/>
      <c r="W905" s="67"/>
      <c r="X905" s="67"/>
    </row>
    <row r="906">
      <c r="U906" s="67"/>
      <c r="V906" s="67"/>
      <c r="W906" s="67"/>
      <c r="X906" s="67"/>
    </row>
    <row r="907">
      <c r="U907" s="67"/>
      <c r="V907" s="67"/>
      <c r="W907" s="67"/>
      <c r="X907" s="67"/>
    </row>
    <row r="908">
      <c r="U908" s="67"/>
      <c r="V908" s="67"/>
      <c r="W908" s="67"/>
      <c r="X908" s="67"/>
    </row>
    <row r="909">
      <c r="U909" s="67"/>
      <c r="V909" s="67"/>
      <c r="W909" s="67"/>
      <c r="X909" s="67"/>
    </row>
    <row r="910">
      <c r="U910" s="67"/>
      <c r="V910" s="67"/>
      <c r="W910" s="67"/>
      <c r="X910" s="67"/>
    </row>
    <row r="911">
      <c r="U911" s="67"/>
      <c r="V911" s="67"/>
      <c r="W911" s="67"/>
      <c r="X911" s="67"/>
    </row>
    <row r="912">
      <c r="U912" s="67"/>
      <c r="V912" s="67"/>
      <c r="W912" s="67"/>
      <c r="X912" s="67"/>
    </row>
    <row r="913">
      <c r="U913" s="67"/>
      <c r="V913" s="67"/>
      <c r="W913" s="67"/>
      <c r="X913" s="67"/>
    </row>
    <row r="914">
      <c r="U914" s="67"/>
      <c r="V914" s="67"/>
      <c r="W914" s="67"/>
      <c r="X914" s="67"/>
    </row>
    <row r="915">
      <c r="U915" s="67"/>
      <c r="V915" s="67"/>
      <c r="W915" s="67"/>
      <c r="X915" s="67"/>
    </row>
    <row r="916">
      <c r="U916" s="67"/>
      <c r="V916" s="67"/>
      <c r="W916" s="67"/>
      <c r="X916" s="67"/>
    </row>
    <row r="917">
      <c r="U917" s="67"/>
      <c r="V917" s="67"/>
      <c r="W917" s="67"/>
      <c r="X917" s="67"/>
    </row>
    <row r="918">
      <c r="U918" s="67"/>
      <c r="V918" s="67"/>
      <c r="W918" s="67"/>
      <c r="X918" s="67"/>
    </row>
    <row r="919">
      <c r="U919" s="67"/>
      <c r="V919" s="67"/>
      <c r="W919" s="67"/>
      <c r="X919" s="67"/>
    </row>
    <row r="920">
      <c r="U920" s="67"/>
      <c r="V920" s="67"/>
      <c r="W920" s="67"/>
      <c r="X920" s="67"/>
    </row>
    <row r="921">
      <c r="U921" s="67"/>
      <c r="V921" s="67"/>
      <c r="W921" s="67"/>
      <c r="X921" s="67"/>
    </row>
    <row r="922">
      <c r="U922" s="67"/>
      <c r="V922" s="67"/>
      <c r="W922" s="67"/>
      <c r="X922" s="67"/>
    </row>
    <row r="923">
      <c r="U923" s="67"/>
      <c r="V923" s="67"/>
      <c r="W923" s="67"/>
      <c r="X923" s="67"/>
    </row>
    <row r="924">
      <c r="U924" s="67"/>
      <c r="V924" s="67"/>
      <c r="W924" s="67"/>
      <c r="X924" s="67"/>
    </row>
    <row r="925">
      <c r="U925" s="67"/>
      <c r="V925" s="67"/>
      <c r="W925" s="67"/>
      <c r="X925" s="67"/>
    </row>
    <row r="926">
      <c r="U926" s="67"/>
      <c r="V926" s="67"/>
      <c r="W926" s="67"/>
      <c r="X926" s="67"/>
    </row>
    <row r="927">
      <c r="U927" s="67"/>
      <c r="V927" s="67"/>
      <c r="W927" s="67"/>
      <c r="X927" s="67"/>
    </row>
    <row r="928">
      <c r="U928" s="67"/>
      <c r="V928" s="67"/>
      <c r="W928" s="67"/>
      <c r="X928" s="67"/>
    </row>
    <row r="929">
      <c r="U929" s="67"/>
      <c r="V929" s="67"/>
      <c r="W929" s="67"/>
      <c r="X929" s="67"/>
    </row>
    <row r="930">
      <c r="U930" s="67"/>
      <c r="V930" s="67"/>
      <c r="W930" s="67"/>
      <c r="X930" s="67"/>
    </row>
    <row r="931">
      <c r="U931" s="67"/>
      <c r="V931" s="67"/>
      <c r="W931" s="67"/>
      <c r="X931" s="67"/>
    </row>
    <row r="932">
      <c r="U932" s="67"/>
      <c r="V932" s="67"/>
      <c r="W932" s="67"/>
      <c r="X932" s="67"/>
    </row>
    <row r="933">
      <c r="U933" s="67"/>
      <c r="V933" s="67"/>
      <c r="W933" s="67"/>
      <c r="X933" s="67"/>
    </row>
    <row r="934">
      <c r="U934" s="67"/>
      <c r="V934" s="67"/>
      <c r="W934" s="67"/>
      <c r="X934" s="67"/>
    </row>
    <row r="935">
      <c r="U935" s="67"/>
      <c r="V935" s="67"/>
      <c r="W935" s="67"/>
      <c r="X935" s="67"/>
    </row>
    <row r="936">
      <c r="U936" s="67"/>
      <c r="V936" s="67"/>
      <c r="W936" s="67"/>
      <c r="X936" s="67"/>
    </row>
    <row r="937">
      <c r="U937" s="67"/>
      <c r="V937" s="67"/>
      <c r="W937" s="67"/>
      <c r="X937" s="67"/>
    </row>
    <row r="938">
      <c r="U938" s="67"/>
      <c r="V938" s="67"/>
      <c r="W938" s="67"/>
      <c r="X938" s="67"/>
    </row>
    <row r="939">
      <c r="U939" s="67"/>
      <c r="V939" s="67"/>
      <c r="W939" s="67"/>
      <c r="X939" s="67"/>
    </row>
    <row r="940">
      <c r="U940" s="67"/>
      <c r="V940" s="67"/>
      <c r="W940" s="67"/>
      <c r="X940" s="67"/>
    </row>
    <row r="941">
      <c r="U941" s="67"/>
      <c r="V941" s="67"/>
      <c r="W941" s="67"/>
      <c r="X941" s="67"/>
    </row>
    <row r="942">
      <c r="U942" s="67"/>
      <c r="V942" s="67"/>
      <c r="W942" s="67"/>
      <c r="X942" s="67"/>
    </row>
    <row r="943">
      <c r="U943" s="67"/>
      <c r="V943" s="67"/>
      <c r="W943" s="67"/>
      <c r="X943" s="67"/>
    </row>
    <row r="944">
      <c r="U944" s="67"/>
      <c r="V944" s="67"/>
      <c r="W944" s="67"/>
      <c r="X944" s="67"/>
    </row>
    <row r="945">
      <c r="U945" s="67"/>
      <c r="V945" s="67"/>
      <c r="W945" s="67"/>
      <c r="X945" s="67"/>
    </row>
    <row r="946">
      <c r="U946" s="67"/>
      <c r="V946" s="67"/>
      <c r="W946" s="67"/>
      <c r="X946" s="67"/>
    </row>
    <row r="947">
      <c r="U947" s="67"/>
      <c r="V947" s="67"/>
      <c r="W947" s="67"/>
      <c r="X947" s="67"/>
    </row>
    <row r="948">
      <c r="U948" s="67"/>
      <c r="V948" s="67"/>
      <c r="W948" s="67"/>
      <c r="X948" s="67"/>
    </row>
    <row r="949">
      <c r="U949" s="67"/>
      <c r="V949" s="67"/>
      <c r="W949" s="67"/>
      <c r="X949" s="67"/>
    </row>
    <row r="950">
      <c r="U950" s="67"/>
      <c r="V950" s="67"/>
      <c r="W950" s="67"/>
      <c r="X950" s="67"/>
    </row>
    <row r="951">
      <c r="U951" s="67"/>
      <c r="V951" s="67"/>
      <c r="W951" s="67"/>
      <c r="X951" s="67"/>
    </row>
    <row r="952">
      <c r="U952" s="67"/>
      <c r="V952" s="67"/>
      <c r="W952" s="67"/>
      <c r="X952" s="67"/>
    </row>
    <row r="953">
      <c r="U953" s="67"/>
      <c r="V953" s="67"/>
      <c r="W953" s="67"/>
      <c r="X953" s="67"/>
    </row>
    <row r="954">
      <c r="U954" s="67"/>
      <c r="V954" s="67"/>
      <c r="W954" s="67"/>
      <c r="X954" s="67"/>
    </row>
    <row r="955">
      <c r="U955" s="67"/>
      <c r="V955" s="67"/>
      <c r="W955" s="67"/>
      <c r="X955" s="67"/>
    </row>
    <row r="956">
      <c r="U956" s="67"/>
      <c r="V956" s="67"/>
      <c r="W956" s="67"/>
      <c r="X956" s="67"/>
    </row>
    <row r="957">
      <c r="U957" s="67"/>
      <c r="V957" s="67"/>
      <c r="W957" s="67"/>
      <c r="X957" s="67"/>
    </row>
    <row r="958">
      <c r="U958" s="67"/>
      <c r="V958" s="67"/>
      <c r="W958" s="67"/>
      <c r="X958" s="67"/>
    </row>
    <row r="959">
      <c r="U959" s="67"/>
      <c r="V959" s="67"/>
      <c r="W959" s="67"/>
      <c r="X959" s="67"/>
    </row>
    <row r="960">
      <c r="U960" s="67"/>
      <c r="V960" s="67"/>
      <c r="W960" s="67"/>
      <c r="X960" s="67"/>
    </row>
    <row r="961">
      <c r="U961" s="67"/>
      <c r="V961" s="67"/>
      <c r="W961" s="67"/>
      <c r="X961" s="67"/>
    </row>
    <row r="962">
      <c r="U962" s="67"/>
      <c r="V962" s="67"/>
      <c r="W962" s="67"/>
      <c r="X962" s="67"/>
    </row>
    <row r="963">
      <c r="U963" s="67"/>
      <c r="V963" s="67"/>
      <c r="W963" s="67"/>
      <c r="X963" s="67"/>
    </row>
    <row r="964">
      <c r="U964" s="67"/>
      <c r="V964" s="67"/>
      <c r="W964" s="67"/>
      <c r="X964" s="67"/>
    </row>
    <row r="965">
      <c r="U965" s="67"/>
      <c r="V965" s="67"/>
      <c r="W965" s="67"/>
      <c r="X965" s="67"/>
    </row>
    <row r="966">
      <c r="U966" s="67"/>
      <c r="V966" s="67"/>
      <c r="W966" s="67"/>
      <c r="X966" s="67"/>
    </row>
    <row r="967">
      <c r="U967" s="67"/>
      <c r="V967" s="67"/>
      <c r="W967" s="67"/>
      <c r="X967" s="67"/>
    </row>
    <row r="968">
      <c r="U968" s="67"/>
      <c r="V968" s="67"/>
      <c r="W968" s="67"/>
      <c r="X968" s="67"/>
    </row>
    <row r="969">
      <c r="U969" s="67"/>
      <c r="V969" s="67"/>
      <c r="W969" s="67"/>
      <c r="X969" s="67"/>
    </row>
    <row r="970">
      <c r="U970" s="67"/>
      <c r="V970" s="67"/>
      <c r="W970" s="67"/>
      <c r="X970" s="67"/>
    </row>
    <row r="971">
      <c r="U971" s="67"/>
      <c r="V971" s="67"/>
      <c r="W971" s="67"/>
      <c r="X971" s="67"/>
    </row>
    <row r="972">
      <c r="U972" s="67"/>
      <c r="V972" s="67"/>
      <c r="W972" s="67"/>
      <c r="X972" s="67"/>
    </row>
    <row r="973">
      <c r="U973" s="67"/>
      <c r="V973" s="67"/>
      <c r="W973" s="67"/>
      <c r="X973" s="67"/>
    </row>
    <row r="974">
      <c r="U974" s="67"/>
      <c r="V974" s="67"/>
      <c r="W974" s="67"/>
      <c r="X974" s="67"/>
    </row>
    <row r="975">
      <c r="U975" s="67"/>
      <c r="V975" s="67"/>
      <c r="W975" s="67"/>
      <c r="X975" s="67"/>
    </row>
    <row r="976">
      <c r="U976" s="67"/>
      <c r="V976" s="67"/>
      <c r="W976" s="67"/>
      <c r="X976" s="67"/>
    </row>
    <row r="977">
      <c r="U977" s="67"/>
      <c r="V977" s="67"/>
      <c r="W977" s="67"/>
      <c r="X977" s="67"/>
    </row>
    <row r="978">
      <c r="U978" s="67"/>
      <c r="V978" s="67"/>
      <c r="W978" s="67"/>
      <c r="X978" s="67"/>
    </row>
    <row r="979">
      <c r="U979" s="67"/>
      <c r="V979" s="67"/>
      <c r="W979" s="67"/>
      <c r="X979" s="67"/>
    </row>
    <row r="980">
      <c r="U980" s="67"/>
      <c r="V980" s="67"/>
      <c r="W980" s="67"/>
      <c r="X980" s="67"/>
    </row>
    <row r="981">
      <c r="U981" s="67"/>
      <c r="V981" s="67"/>
      <c r="W981" s="67"/>
      <c r="X981" s="67"/>
    </row>
    <row r="982">
      <c r="U982" s="67"/>
      <c r="V982" s="67"/>
      <c r="W982" s="67"/>
      <c r="X982" s="67"/>
    </row>
    <row r="983">
      <c r="U983" s="67"/>
      <c r="V983" s="67"/>
      <c r="W983" s="67"/>
      <c r="X983" s="67"/>
    </row>
    <row r="984">
      <c r="U984" s="67"/>
      <c r="V984" s="67"/>
      <c r="W984" s="67"/>
      <c r="X984" s="67"/>
    </row>
    <row r="985">
      <c r="U985" s="67"/>
      <c r="V985" s="67"/>
      <c r="W985" s="67"/>
      <c r="X985" s="67"/>
    </row>
    <row r="986">
      <c r="U986" s="67"/>
      <c r="V986" s="67"/>
      <c r="W986" s="67"/>
      <c r="X986" s="67"/>
    </row>
    <row r="987">
      <c r="U987" s="67"/>
      <c r="V987" s="67"/>
      <c r="W987" s="67"/>
      <c r="X987" s="67"/>
    </row>
    <row r="988">
      <c r="U988" s="67"/>
      <c r="V988" s="67"/>
      <c r="W988" s="67"/>
      <c r="X988" s="67"/>
    </row>
    <row r="989">
      <c r="U989" s="67"/>
      <c r="V989" s="67"/>
      <c r="W989" s="67"/>
      <c r="X989" s="67"/>
    </row>
    <row r="990">
      <c r="U990" s="67"/>
      <c r="V990" s="67"/>
      <c r="W990" s="67"/>
      <c r="X990" s="67"/>
    </row>
    <row r="991">
      <c r="U991" s="67"/>
      <c r="V991" s="67"/>
      <c r="W991" s="67"/>
      <c r="X991" s="67"/>
    </row>
    <row r="992">
      <c r="U992" s="67"/>
      <c r="V992" s="67"/>
      <c r="W992" s="67"/>
      <c r="X992" s="67"/>
    </row>
    <row r="993">
      <c r="U993" s="67"/>
      <c r="V993" s="67"/>
      <c r="W993" s="67"/>
      <c r="X993" s="67"/>
    </row>
    <row r="994">
      <c r="U994" s="67"/>
      <c r="V994" s="67"/>
      <c r="W994" s="67"/>
      <c r="X994" s="67"/>
    </row>
    <row r="995">
      <c r="U995" s="67"/>
      <c r="V995" s="67"/>
      <c r="W995" s="67"/>
      <c r="X995" s="67"/>
    </row>
    <row r="996">
      <c r="U996" s="67"/>
      <c r="V996" s="67"/>
      <c r="W996" s="67"/>
      <c r="X996" s="67"/>
    </row>
    <row r="997">
      <c r="U997" s="67"/>
      <c r="V997" s="67"/>
      <c r="W997" s="67"/>
      <c r="X997" s="67"/>
    </row>
    <row r="998">
      <c r="U998" s="67"/>
      <c r="V998" s="67"/>
      <c r="W998" s="67"/>
      <c r="X998" s="67"/>
    </row>
    <row r="999">
      <c r="U999" s="67"/>
      <c r="V999" s="67"/>
      <c r="W999" s="67"/>
      <c r="X999" s="67"/>
    </row>
    <row r="1000">
      <c r="U1000" s="67"/>
      <c r="V1000" s="67"/>
      <c r="W1000" s="67"/>
      <c r="X1000" s="6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7" t="s">
        <v>300</v>
      </c>
    </row>
    <row r="2">
      <c r="A2" s="7"/>
    </row>
    <row r="3">
      <c r="A3" s="1" t="s">
        <v>301</v>
      </c>
      <c r="B3" s="1" t="s">
        <v>302</v>
      </c>
    </row>
    <row r="4">
      <c r="A4" s="7" t="s">
        <v>303</v>
      </c>
      <c r="B4" s="7" t="s">
        <v>304</v>
      </c>
    </row>
    <row r="5">
      <c r="A5" s="7" t="s">
        <v>305</v>
      </c>
      <c r="B5" s="7" t="s">
        <v>306</v>
      </c>
    </row>
    <row r="6">
      <c r="A6" s="7" t="s">
        <v>307</v>
      </c>
      <c r="B6" s="7" t="s">
        <v>308</v>
      </c>
    </row>
    <row r="7">
      <c r="A7" s="7" t="s">
        <v>309</v>
      </c>
      <c r="B7" s="7" t="s">
        <v>310</v>
      </c>
    </row>
    <row r="8">
      <c r="A8" s="7" t="s">
        <v>311</v>
      </c>
      <c r="B8" s="7" t="s">
        <v>312</v>
      </c>
    </row>
    <row r="9">
      <c r="A9" s="7" t="s">
        <v>313</v>
      </c>
      <c r="B9" s="7" t="s">
        <v>314</v>
      </c>
    </row>
    <row r="10">
      <c r="A10" s="7" t="s">
        <v>315</v>
      </c>
      <c r="B10" s="7" t="s">
        <v>316</v>
      </c>
    </row>
    <row r="11">
      <c r="A11" s="7" t="s">
        <v>317</v>
      </c>
      <c r="B11" s="7" t="s">
        <v>318</v>
      </c>
    </row>
    <row r="12">
      <c r="A12" s="7" t="s">
        <v>319</v>
      </c>
      <c r="B12" s="7" t="s">
        <v>320</v>
      </c>
    </row>
    <row r="13">
      <c r="A13" s="7" t="s">
        <v>321</v>
      </c>
      <c r="B13" s="7" t="s">
        <v>322</v>
      </c>
    </row>
    <row r="14">
      <c r="A14" s="7" t="s">
        <v>323</v>
      </c>
      <c r="B14" s="7" t="s">
        <v>324</v>
      </c>
    </row>
    <row r="15">
      <c r="A15" s="7" t="s">
        <v>325</v>
      </c>
      <c r="B15" s="7" t="s">
        <v>326</v>
      </c>
    </row>
    <row r="16">
      <c r="A16" s="7" t="s">
        <v>327</v>
      </c>
      <c r="B16" s="7" t="s">
        <v>328</v>
      </c>
    </row>
    <row r="17">
      <c r="A17" s="7" t="s">
        <v>329</v>
      </c>
      <c r="B17" s="7" t="s">
        <v>330</v>
      </c>
    </row>
    <row r="18">
      <c r="A18" s="7" t="s">
        <v>331</v>
      </c>
      <c r="B18" s="7" t="s">
        <v>332</v>
      </c>
    </row>
    <row r="19">
      <c r="A19" s="7" t="s">
        <v>333</v>
      </c>
      <c r="B19" s="7" t="s">
        <v>334</v>
      </c>
    </row>
    <row r="20">
      <c r="A20" s="7" t="s">
        <v>335</v>
      </c>
      <c r="B20" s="7" t="s">
        <v>336</v>
      </c>
    </row>
    <row r="21">
      <c r="A21" s="7" t="s">
        <v>337</v>
      </c>
      <c r="B21" s="7" t="s">
        <v>338</v>
      </c>
    </row>
    <row r="22">
      <c r="A22" s="7" t="s">
        <v>339</v>
      </c>
      <c r="B22" s="7" t="s">
        <v>340</v>
      </c>
    </row>
    <row r="23">
      <c r="A23" s="7" t="s">
        <v>341</v>
      </c>
      <c r="B23" s="7" t="s">
        <v>342</v>
      </c>
    </row>
    <row r="24">
      <c r="A24" s="7" t="s">
        <v>343</v>
      </c>
      <c r="B24" s="7" t="s">
        <v>344</v>
      </c>
    </row>
    <row r="25">
      <c r="A25" s="7" t="s">
        <v>345</v>
      </c>
      <c r="B25" s="7" t="s">
        <v>346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7.5"/>
    <col customWidth="1" min="3" max="3" width="5.63"/>
    <col customWidth="1" min="4" max="4" width="7.38"/>
    <col customWidth="1" min="5" max="5" width="8.38"/>
    <col customWidth="1" min="6" max="6" width="5.5"/>
    <col customWidth="1" min="7" max="8" width="12.25"/>
    <col customWidth="1" min="9" max="9" width="9.75"/>
    <col customWidth="1" min="10" max="10" width="14.88"/>
    <col customWidth="1" min="11" max="11" width="9.75"/>
    <col customWidth="1" min="12" max="12" width="32.88"/>
    <col customWidth="1" min="13" max="13" width="7.63"/>
    <col customWidth="1" min="14" max="14" width="12.75"/>
    <col customWidth="1" min="15" max="15" width="20.0"/>
    <col customWidth="1" min="16" max="17" width="16.0"/>
    <col customWidth="1" min="18" max="18" width="6.5"/>
    <col customWidth="1" min="19" max="19" width="45.13"/>
    <col customWidth="1" min="20" max="20" width="6.5"/>
    <col customWidth="1" min="21" max="22" width="10.0"/>
    <col customWidth="1" min="23" max="23" width="11.13"/>
    <col customWidth="1" min="24" max="24" width="12.0"/>
    <col customWidth="1" min="25" max="25" width="6.5"/>
    <col customWidth="1" min="26" max="26" width="9.5"/>
    <col customWidth="1" min="27" max="27" width="12.0"/>
    <col customWidth="1" min="28" max="28" width="7.75"/>
    <col customWidth="1" min="29" max="29" width="9.13"/>
    <col customWidth="1" min="30" max="30" width="12.38"/>
    <col customWidth="1" min="31" max="31" width="6.25"/>
    <col customWidth="1" min="32" max="32" width="4.63"/>
    <col customWidth="1" min="33" max="33" width="8.5"/>
    <col customWidth="1" min="34" max="34" width="23.5"/>
    <col customWidth="1" min="35" max="35" width="7.25"/>
    <col customWidth="1" min="36" max="36" width="10.13"/>
    <col customWidth="1" min="37" max="37" width="31.88"/>
  </cols>
  <sheetData>
    <row r="1">
      <c r="A1" s="73" t="s">
        <v>347</v>
      </c>
      <c r="B1" s="74" t="s">
        <v>348</v>
      </c>
      <c r="C1" s="5"/>
      <c r="D1" s="5"/>
      <c r="E1" s="5"/>
      <c r="F1" s="7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row>
    <row r="2">
      <c r="A2" s="76"/>
      <c r="B2" s="5"/>
      <c r="C2" s="5"/>
      <c r="D2" s="5"/>
      <c r="E2" s="5"/>
      <c r="F2" s="7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row>
    <row r="3">
      <c r="A3" s="76" t="s">
        <v>349</v>
      </c>
      <c r="B3" s="5"/>
      <c r="C3" s="5"/>
      <c r="D3" s="5"/>
      <c r="E3" s="5"/>
      <c r="F3" s="7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4">
      <c r="A4" s="77" t="s">
        <v>350</v>
      </c>
      <c r="B4" s="78" t="s">
        <v>351</v>
      </c>
      <c r="C4" s="1" t="s">
        <v>352</v>
      </c>
      <c r="D4" s="5"/>
      <c r="E4" s="5"/>
      <c r="F4" s="7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row>
    <row r="5">
      <c r="A5" s="79">
        <v>1.0</v>
      </c>
      <c r="B5" s="7" t="s">
        <v>353</v>
      </c>
      <c r="C5" s="7" t="s">
        <v>354</v>
      </c>
      <c r="D5" s="5"/>
      <c r="E5" s="5"/>
      <c r="F5" s="7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row>
    <row r="6">
      <c r="A6" s="79">
        <v>2.0</v>
      </c>
      <c r="B6" s="7" t="s">
        <v>355</v>
      </c>
      <c r="C6" s="7" t="s">
        <v>356</v>
      </c>
      <c r="D6" s="5"/>
      <c r="E6" s="5"/>
      <c r="F6" s="7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row>
    <row r="7">
      <c r="A7" s="79">
        <v>3.0</v>
      </c>
      <c r="B7" s="7" t="s">
        <v>357</v>
      </c>
      <c r="C7" s="7" t="s">
        <v>358</v>
      </c>
      <c r="D7" s="5"/>
      <c r="E7" s="5"/>
      <c r="F7" s="7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row>
    <row r="8">
      <c r="A8" s="76"/>
      <c r="B8" s="5"/>
      <c r="C8" s="5"/>
      <c r="D8" s="5"/>
      <c r="E8" s="5"/>
      <c r="F8" s="7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row>
    <row r="9">
      <c r="A9" s="76" t="s">
        <v>359</v>
      </c>
      <c r="B9" s="5"/>
      <c r="C9" s="5"/>
      <c r="D9" s="5"/>
      <c r="E9" s="5"/>
      <c r="F9" s="7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row>
    <row r="10">
      <c r="A10" s="77" t="s">
        <v>350</v>
      </c>
      <c r="B10" s="78" t="s">
        <v>360</v>
      </c>
      <c r="C10" s="78" t="s">
        <v>352</v>
      </c>
      <c r="D10" s="80"/>
      <c r="E10" s="80"/>
      <c r="F10" s="81"/>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row>
    <row r="11">
      <c r="A11" s="79">
        <v>1.0</v>
      </c>
      <c r="B11" s="7" t="s">
        <v>16</v>
      </c>
      <c r="C11" s="5"/>
      <c r="D11" s="5"/>
      <c r="E11" s="5"/>
      <c r="F11" s="7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row>
    <row r="12">
      <c r="A12" s="79">
        <v>2.0</v>
      </c>
      <c r="B12" s="7" t="s">
        <v>75</v>
      </c>
      <c r="C12" s="5"/>
      <c r="D12" s="5"/>
      <c r="E12" s="5"/>
      <c r="F12" s="7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row>
    <row r="13">
      <c r="A13" s="79">
        <v>3.0</v>
      </c>
      <c r="B13" s="7" t="s">
        <v>155</v>
      </c>
      <c r="C13" s="5"/>
      <c r="D13" s="5"/>
      <c r="E13" s="5"/>
      <c r="F13" s="7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row>
    <row r="14">
      <c r="A14" s="79">
        <v>4.0</v>
      </c>
      <c r="B14" s="7" t="s">
        <v>185</v>
      </c>
      <c r="C14" s="5"/>
      <c r="D14" s="5"/>
      <c r="E14" s="5"/>
      <c r="F14" s="7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row>
    <row r="15">
      <c r="A15" s="79">
        <v>5.0</v>
      </c>
      <c r="B15" s="7" t="s">
        <v>195</v>
      </c>
      <c r="C15" s="5"/>
      <c r="D15" s="5"/>
      <c r="E15" s="5"/>
      <c r="F15" s="7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row>
    <row r="16">
      <c r="A16" s="7">
        <v>6.0</v>
      </c>
      <c r="B16" s="7" t="s">
        <v>215</v>
      </c>
      <c r="C16" s="5"/>
      <c r="D16" s="5"/>
      <c r="E16" s="5"/>
      <c r="F16" s="7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row>
    <row r="17">
      <c r="A17" s="79">
        <v>7.0</v>
      </c>
      <c r="B17" s="7" t="s">
        <v>219</v>
      </c>
      <c r="C17" s="5"/>
      <c r="D17" s="5"/>
      <c r="E17" s="5"/>
      <c r="F17" s="7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row>
    <row r="18">
      <c r="A18" s="79">
        <v>8.0</v>
      </c>
      <c r="B18" s="7" t="s">
        <v>227</v>
      </c>
      <c r="C18" s="5"/>
      <c r="D18" s="5"/>
      <c r="E18" s="5"/>
      <c r="F18" s="7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row>
    <row r="19">
      <c r="A19" s="79">
        <v>9.0</v>
      </c>
      <c r="B19" s="7" t="s">
        <v>237</v>
      </c>
      <c r="C19" s="5"/>
      <c r="D19" s="5"/>
      <c r="E19" s="5"/>
      <c r="F19" s="7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row>
    <row r="20">
      <c r="A20" s="76"/>
      <c r="B20" s="5"/>
      <c r="C20" s="5"/>
      <c r="D20" s="5"/>
      <c r="E20" s="5"/>
      <c r="F20" s="7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row>
    <row r="21">
      <c r="A21" s="76" t="s">
        <v>303</v>
      </c>
      <c r="B21" s="5"/>
      <c r="C21" s="5"/>
      <c r="D21" s="5"/>
      <c r="E21" s="5"/>
      <c r="F21" s="7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row>
    <row r="22">
      <c r="A22" s="77" t="s">
        <v>350</v>
      </c>
      <c r="B22" s="78" t="s">
        <v>361</v>
      </c>
      <c r="C22" s="82" t="s">
        <v>360</v>
      </c>
      <c r="D22" s="82" t="s">
        <v>351</v>
      </c>
      <c r="E22" s="82" t="s">
        <v>362</v>
      </c>
      <c r="F22" s="82" t="s">
        <v>363</v>
      </c>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row>
    <row r="23">
      <c r="A23" s="79">
        <v>1.0</v>
      </c>
      <c r="B23" s="83" t="s">
        <v>364</v>
      </c>
      <c r="C23" s="84">
        <v>1.0</v>
      </c>
      <c r="D23" s="7">
        <v>1.0</v>
      </c>
      <c r="E23" s="7">
        <v>24.0</v>
      </c>
      <c r="F23" s="7">
        <f> E23</f>
        <v>24</v>
      </c>
    </row>
    <row r="24">
      <c r="A24" s="85">
        <v>2.0</v>
      </c>
      <c r="B24" s="83" t="s">
        <v>365</v>
      </c>
      <c r="C24" s="84">
        <v>2.0</v>
      </c>
      <c r="D24" s="7">
        <v>1.0</v>
      </c>
      <c r="E24" s="63">
        <f>36-24</f>
        <v>12</v>
      </c>
      <c r="F24" s="7"/>
    </row>
    <row r="25">
      <c r="A25" s="85">
        <v>3.0</v>
      </c>
      <c r="B25" s="83" t="s">
        <v>366</v>
      </c>
      <c r="C25" s="84">
        <v>2.0</v>
      </c>
      <c r="D25" s="7">
        <v>1.0</v>
      </c>
      <c r="E25" s="63">
        <f> 54 -36</f>
        <v>18</v>
      </c>
      <c r="F25" s="7"/>
    </row>
    <row r="26">
      <c r="A26" s="85">
        <v>4.0</v>
      </c>
      <c r="B26" s="83" t="s">
        <v>367</v>
      </c>
      <c r="C26" s="84">
        <v>2.0</v>
      </c>
      <c r="D26" s="7">
        <v>1.0</v>
      </c>
      <c r="E26" s="63">
        <f> 72-54</f>
        <v>18</v>
      </c>
      <c r="F26" s="7">
        <f>SUM(E24:E26)</f>
        <v>48</v>
      </c>
    </row>
    <row r="27">
      <c r="A27" s="85">
        <v>5.0</v>
      </c>
      <c r="B27" s="7" t="s">
        <v>368</v>
      </c>
      <c r="C27" s="84">
        <v>3.0</v>
      </c>
      <c r="D27" s="7">
        <v>1.0</v>
      </c>
      <c r="F27" s="7"/>
    </row>
    <row r="28">
      <c r="A28" s="85">
        <v>6.0</v>
      </c>
      <c r="B28" s="7" t="s">
        <v>369</v>
      </c>
      <c r="C28" s="84">
        <v>3.0</v>
      </c>
      <c r="D28" s="7">
        <v>1.0</v>
      </c>
      <c r="F28" s="7"/>
    </row>
    <row r="29">
      <c r="A29" s="85">
        <v>7.0</v>
      </c>
      <c r="B29" s="7" t="s">
        <v>370</v>
      </c>
      <c r="C29" s="84">
        <v>3.0</v>
      </c>
      <c r="D29" s="7">
        <v>1.0</v>
      </c>
      <c r="F29" s="7"/>
    </row>
    <row r="30">
      <c r="A30" s="85">
        <v>8.0</v>
      </c>
      <c r="B30" s="7" t="s">
        <v>371</v>
      </c>
      <c r="C30" s="84">
        <v>4.0</v>
      </c>
      <c r="D30" s="7">
        <v>2.0</v>
      </c>
      <c r="F30" s="7"/>
    </row>
    <row r="31">
      <c r="A31" s="85">
        <v>9.0</v>
      </c>
      <c r="B31" s="7" t="s">
        <v>372</v>
      </c>
      <c r="C31" s="84">
        <v>4.0</v>
      </c>
      <c r="D31" s="7">
        <v>2.0</v>
      </c>
      <c r="F31" s="7"/>
    </row>
    <row r="32">
      <c r="A32" s="85">
        <v>10.0</v>
      </c>
      <c r="B32" s="7" t="s">
        <v>373</v>
      </c>
      <c r="C32" s="84">
        <v>4.0</v>
      </c>
      <c r="D32" s="7">
        <v>2.0</v>
      </c>
      <c r="F32" s="7"/>
    </row>
    <row r="33">
      <c r="A33" s="85">
        <v>11.0</v>
      </c>
      <c r="B33" s="7" t="s">
        <v>374</v>
      </c>
      <c r="C33" s="84">
        <v>5.0</v>
      </c>
      <c r="D33" s="7">
        <v>2.0</v>
      </c>
      <c r="F33" s="7"/>
    </row>
    <row r="34">
      <c r="A34" s="85">
        <v>12.0</v>
      </c>
      <c r="B34" s="7" t="s">
        <v>375</v>
      </c>
      <c r="C34" s="84">
        <v>5.0</v>
      </c>
      <c r="D34" s="7">
        <v>2.0</v>
      </c>
      <c r="F34" s="7"/>
    </row>
    <row r="35">
      <c r="A35" s="85">
        <v>13.0</v>
      </c>
      <c r="B35" s="7" t="s">
        <v>376</v>
      </c>
      <c r="C35" s="84">
        <v>5.0</v>
      </c>
      <c r="D35" s="7">
        <v>2.0</v>
      </c>
      <c r="F35" s="7"/>
    </row>
    <row r="36">
      <c r="A36" s="85">
        <v>14.0</v>
      </c>
      <c r="B36" s="7" t="s">
        <v>377</v>
      </c>
      <c r="C36" s="84">
        <v>6.0</v>
      </c>
      <c r="D36" s="7">
        <v>2.0</v>
      </c>
      <c r="F36" s="7"/>
    </row>
    <row r="37">
      <c r="A37" s="85">
        <v>15.0</v>
      </c>
      <c r="B37" s="7" t="s">
        <v>378</v>
      </c>
      <c r="C37" s="84">
        <v>6.0</v>
      </c>
      <c r="D37" s="7">
        <v>2.0</v>
      </c>
      <c r="F37" s="7"/>
    </row>
    <row r="38">
      <c r="A38" s="85">
        <v>16.0</v>
      </c>
      <c r="B38" s="7" t="s">
        <v>379</v>
      </c>
      <c r="C38" s="84">
        <v>6.0</v>
      </c>
      <c r="D38" s="7">
        <v>2.0</v>
      </c>
      <c r="F38" s="7"/>
    </row>
    <row r="39">
      <c r="A39" s="85">
        <v>17.0</v>
      </c>
      <c r="B39" s="7" t="s">
        <v>380</v>
      </c>
      <c r="C39" s="84">
        <v>7.0</v>
      </c>
      <c r="D39" s="7">
        <v>3.0</v>
      </c>
      <c r="F39" s="7"/>
    </row>
    <row r="40">
      <c r="A40" s="85">
        <v>18.0</v>
      </c>
      <c r="B40" s="7" t="s">
        <v>381</v>
      </c>
      <c r="C40" s="84">
        <v>7.0</v>
      </c>
      <c r="D40" s="7">
        <v>3.0</v>
      </c>
      <c r="F40" s="7"/>
    </row>
    <row r="41">
      <c r="A41" s="85">
        <v>19.0</v>
      </c>
      <c r="B41" s="7" t="s">
        <v>382</v>
      </c>
      <c r="C41" s="84">
        <v>7.0</v>
      </c>
      <c r="D41" s="7">
        <v>3.0</v>
      </c>
      <c r="F41" s="7"/>
    </row>
    <row r="42">
      <c r="A42" s="85">
        <v>20.0</v>
      </c>
      <c r="B42" s="7" t="s">
        <v>383</v>
      </c>
      <c r="C42" s="84">
        <v>8.0</v>
      </c>
      <c r="D42" s="7">
        <v>4.0</v>
      </c>
      <c r="F42" s="7"/>
    </row>
    <row r="43">
      <c r="A43" s="85">
        <v>21.0</v>
      </c>
      <c r="B43" s="7" t="s">
        <v>384</v>
      </c>
      <c r="C43" s="84">
        <v>8.0</v>
      </c>
      <c r="D43" s="7">
        <v>4.0</v>
      </c>
      <c r="F43" s="7"/>
    </row>
    <row r="44">
      <c r="A44" s="85">
        <v>22.0</v>
      </c>
      <c r="B44" s="7" t="s">
        <v>385</v>
      </c>
      <c r="C44" s="84">
        <v>8.0</v>
      </c>
      <c r="D44" s="7">
        <v>4.0</v>
      </c>
      <c r="F44" s="7"/>
    </row>
    <row r="45">
      <c r="A45" s="85">
        <v>23.0</v>
      </c>
      <c r="B45" s="7" t="s">
        <v>386</v>
      </c>
      <c r="C45" s="84">
        <v>9.0</v>
      </c>
      <c r="D45" s="7">
        <v>4.0</v>
      </c>
      <c r="F45" s="7"/>
    </row>
    <row r="46">
      <c r="A46" s="85">
        <v>24.0</v>
      </c>
      <c r="B46" s="7" t="s">
        <v>242</v>
      </c>
      <c r="C46" s="86" t="s">
        <v>387</v>
      </c>
      <c r="D46" s="7">
        <v>4.0</v>
      </c>
      <c r="F46" s="7"/>
    </row>
    <row r="47">
      <c r="A47" s="85"/>
      <c r="B47" s="7"/>
      <c r="C47" s="86"/>
      <c r="D47" s="7"/>
      <c r="E47" s="63">
        <f>SUM(E23:E46)</f>
        <v>72</v>
      </c>
      <c r="F47"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5.5"/>
    <col customWidth="1" min="3" max="3" width="8.38"/>
    <col customWidth="1" min="4" max="4" width="27.25"/>
    <col customWidth="1" min="5" max="5" width="9.75"/>
    <col customWidth="1" min="6" max="6" width="11.13"/>
    <col customWidth="1" min="7" max="8" width="12.25"/>
    <col customWidth="1" min="9" max="9" width="9.75"/>
    <col customWidth="1" min="10" max="10" width="14.88"/>
    <col customWidth="1" min="11" max="11" width="9.75"/>
    <col customWidth="1" min="12" max="12" width="32.88"/>
    <col customWidth="1" min="13" max="13" width="7.63"/>
    <col customWidth="1" min="14" max="14" width="12.75"/>
    <col customWidth="1" min="15" max="15" width="20.0"/>
    <col customWidth="1" min="16" max="17" width="16.0"/>
    <col customWidth="1" min="18" max="18" width="6.5"/>
    <col customWidth="1" min="19" max="19" width="45.13"/>
    <col customWidth="1" min="20" max="20" width="6.5"/>
    <col customWidth="1" min="21" max="22" width="10.0"/>
    <col customWidth="1" min="23" max="23" width="11.13"/>
    <col customWidth="1" min="24" max="24" width="12.0"/>
    <col customWidth="1" min="25" max="25" width="6.5"/>
    <col customWidth="1" min="26" max="26" width="9.5"/>
    <col customWidth="1" min="27" max="27" width="12.0"/>
    <col customWidth="1" min="28" max="28" width="7.75"/>
    <col customWidth="1" min="29" max="29" width="9.13"/>
    <col customWidth="1" min="30" max="30" width="12.38"/>
    <col customWidth="1" min="31" max="31" width="6.25"/>
    <col customWidth="1" min="32" max="32" width="4.63"/>
    <col customWidth="1" min="33" max="33" width="8.5"/>
    <col customWidth="1" min="34" max="34" width="23.5"/>
    <col customWidth="1" min="35" max="35" width="7.25"/>
    <col customWidth="1" min="36" max="36" width="10.13"/>
    <col customWidth="1" min="37" max="37" width="31.88"/>
  </cols>
  <sheetData>
    <row r="1">
      <c r="A1" s="87"/>
    </row>
    <row r="2">
      <c r="A2" s="76" t="s">
        <v>1</v>
      </c>
      <c r="B2" s="88" t="s">
        <v>388</v>
      </c>
      <c r="D2" s="89" t="s">
        <v>389</v>
      </c>
      <c r="E2" s="89" t="s">
        <v>390</v>
      </c>
      <c r="F2" s="89" t="s">
        <v>391</v>
      </c>
      <c r="G2" s="89" t="s">
        <v>392</v>
      </c>
      <c r="H2" s="89" t="s">
        <v>393</v>
      </c>
      <c r="I2" s="89" t="s">
        <v>394</v>
      </c>
      <c r="J2" s="89" t="s">
        <v>395</v>
      </c>
      <c r="K2" s="89" t="s">
        <v>396</v>
      </c>
      <c r="P2" s="89"/>
      <c r="Q2" s="89"/>
      <c r="R2" s="89"/>
      <c r="S2" s="7" t="s">
        <v>397</v>
      </c>
      <c r="T2" s="88" t="s">
        <v>398</v>
      </c>
      <c r="U2" s="88"/>
      <c r="V2" s="88" t="s">
        <v>399</v>
      </c>
      <c r="W2" s="90" t="s">
        <v>400</v>
      </c>
      <c r="Y2" s="91" t="s">
        <v>401</v>
      </c>
      <c r="AB2" s="92" t="s">
        <v>402</v>
      </c>
      <c r="AE2" s="93" t="s">
        <v>403</v>
      </c>
      <c r="AL2" s="94"/>
      <c r="AM2" s="94"/>
      <c r="AN2" s="94"/>
      <c r="AO2" s="94"/>
      <c r="AP2" s="94"/>
    </row>
    <row r="3">
      <c r="A3" s="95"/>
      <c r="B3" s="96" t="s">
        <v>2</v>
      </c>
      <c r="C3" s="7" t="s">
        <v>404</v>
      </c>
      <c r="D3" s="97"/>
      <c r="E3" s="97"/>
      <c r="F3" s="97"/>
      <c r="G3" s="97"/>
      <c r="H3" s="97"/>
      <c r="I3" s="98"/>
      <c r="J3" s="98"/>
      <c r="K3" s="98" t="s">
        <v>405</v>
      </c>
      <c r="L3" s="99" t="s">
        <v>406</v>
      </c>
      <c r="M3" s="98" t="s">
        <v>407</v>
      </c>
      <c r="N3" s="98" t="s">
        <v>408</v>
      </c>
      <c r="O3" s="98" t="s">
        <v>409</v>
      </c>
      <c r="P3" s="99" t="s">
        <v>410</v>
      </c>
      <c r="Q3" s="100" t="s">
        <v>411</v>
      </c>
      <c r="R3" s="100"/>
      <c r="S3" s="101"/>
      <c r="T3" s="101"/>
      <c r="U3" s="101"/>
      <c r="V3" s="101"/>
      <c r="W3" s="102" t="s">
        <v>412</v>
      </c>
      <c r="X3" s="102" t="s">
        <v>413</v>
      </c>
      <c r="Y3" s="103" t="s">
        <v>414</v>
      </c>
      <c r="Z3" s="104" t="s">
        <v>415</v>
      </c>
      <c r="AA3" s="105" t="s">
        <v>416</v>
      </c>
      <c r="AB3" s="106" t="s">
        <v>417</v>
      </c>
      <c r="AC3" s="107" t="s">
        <v>418</v>
      </c>
      <c r="AD3" s="108" t="s">
        <v>419</v>
      </c>
      <c r="AE3" s="109" t="s">
        <v>420</v>
      </c>
      <c r="AH3" s="110" t="s">
        <v>421</v>
      </c>
      <c r="AI3" s="111" t="s">
        <v>422</v>
      </c>
      <c r="AK3" s="110" t="s">
        <v>423</v>
      </c>
    </row>
    <row r="4">
      <c r="A4" s="79"/>
      <c r="B4" s="84"/>
      <c r="C4" s="1"/>
      <c r="D4" s="112"/>
      <c r="E4" s="112"/>
      <c r="F4" s="112"/>
      <c r="G4" s="112"/>
      <c r="H4" s="112"/>
      <c r="I4" s="112"/>
      <c r="J4" s="112"/>
      <c r="K4" s="112"/>
      <c r="L4" s="113"/>
      <c r="M4" s="113"/>
      <c r="N4" s="113"/>
      <c r="O4" s="113"/>
      <c r="P4" s="113"/>
      <c r="Q4" s="113"/>
      <c r="R4" s="113"/>
      <c r="W4" s="114"/>
      <c r="X4" s="114"/>
      <c r="Y4" s="115"/>
      <c r="Z4" s="116"/>
      <c r="AA4" s="117"/>
      <c r="AB4" s="118"/>
      <c r="AC4" s="119"/>
      <c r="AD4" s="120"/>
      <c r="AE4" s="121" t="s">
        <v>165</v>
      </c>
      <c r="AF4" s="121" t="s">
        <v>424</v>
      </c>
      <c r="AG4" s="121" t="s">
        <v>425</v>
      </c>
      <c r="AH4" s="122"/>
      <c r="AI4" s="123" t="s">
        <v>426</v>
      </c>
      <c r="AJ4" s="124" t="s">
        <v>427</v>
      </c>
      <c r="AK4" s="125"/>
    </row>
    <row r="5">
      <c r="A5" s="79">
        <v>1.0</v>
      </c>
      <c r="B5" s="84">
        <v>1.0</v>
      </c>
      <c r="C5" s="1" t="s">
        <v>16</v>
      </c>
      <c r="D5" s="97" t="s">
        <v>428</v>
      </c>
      <c r="E5" s="97" t="s">
        <v>429</v>
      </c>
      <c r="F5" s="112" t="s">
        <v>430</v>
      </c>
      <c r="G5" s="97"/>
      <c r="H5" s="97"/>
      <c r="I5" s="126"/>
      <c r="J5" s="126"/>
      <c r="K5" s="126" t="s">
        <v>13</v>
      </c>
      <c r="L5" s="97"/>
      <c r="M5" s="97" t="s">
        <v>431</v>
      </c>
      <c r="N5" s="113"/>
      <c r="O5" s="113"/>
      <c r="P5" s="113"/>
      <c r="Q5" s="113"/>
      <c r="R5" s="113"/>
      <c r="V5" s="7" t="s">
        <v>432</v>
      </c>
      <c r="W5" s="114"/>
      <c r="X5" s="127"/>
      <c r="Y5" s="115"/>
      <c r="Z5" s="116"/>
      <c r="AA5" s="117"/>
      <c r="AB5" s="118"/>
      <c r="AC5" s="119"/>
      <c r="AD5" s="128" t="s">
        <v>433</v>
      </c>
      <c r="AE5" s="129"/>
      <c r="AF5" s="129"/>
      <c r="AG5" s="129"/>
      <c r="AH5" s="110"/>
      <c r="AI5" s="130"/>
      <c r="AJ5" s="130"/>
    </row>
    <row r="6">
      <c r="A6" s="86" t="s">
        <v>434</v>
      </c>
      <c r="B6" s="84">
        <v>2.0</v>
      </c>
      <c r="C6" s="1" t="s">
        <v>75</v>
      </c>
      <c r="D6" s="97" t="s">
        <v>435</v>
      </c>
      <c r="E6" s="97" t="s">
        <v>229</v>
      </c>
      <c r="F6" s="126"/>
      <c r="G6" s="97"/>
      <c r="H6" s="97" t="s">
        <v>436</v>
      </c>
      <c r="I6" s="126" t="s">
        <v>437</v>
      </c>
      <c r="J6" s="126" t="s">
        <v>438</v>
      </c>
      <c r="K6" s="126" t="s">
        <v>74</v>
      </c>
      <c r="L6" s="97" t="s">
        <v>439</v>
      </c>
      <c r="M6" s="97" t="s">
        <v>440</v>
      </c>
      <c r="N6" s="131" t="s">
        <v>441</v>
      </c>
      <c r="O6" s="126" t="s">
        <v>442</v>
      </c>
      <c r="P6" s="131"/>
      <c r="Q6" s="131" t="s">
        <v>443</v>
      </c>
      <c r="R6" s="131" t="s">
        <v>444</v>
      </c>
      <c r="S6" s="7" t="s">
        <v>445</v>
      </c>
      <c r="U6" s="7" t="s">
        <v>446</v>
      </c>
      <c r="V6" s="7" t="s">
        <v>447</v>
      </c>
      <c r="W6" s="32" t="s">
        <v>448</v>
      </c>
      <c r="X6" s="32" t="s">
        <v>75</v>
      </c>
      <c r="Y6" s="115"/>
      <c r="Z6" s="116"/>
      <c r="AA6" s="117"/>
      <c r="AB6" s="118"/>
      <c r="AC6" s="119"/>
      <c r="AD6" s="128" t="s">
        <v>449</v>
      </c>
      <c r="AE6" s="129"/>
      <c r="AF6" s="129"/>
      <c r="AG6" s="129"/>
      <c r="AH6" s="110" t="s">
        <v>450</v>
      </c>
      <c r="AI6" s="130"/>
      <c r="AJ6" s="130"/>
      <c r="AK6" s="132" t="s">
        <v>451</v>
      </c>
    </row>
    <row r="7">
      <c r="A7" s="79" t="s">
        <v>452</v>
      </c>
      <c r="B7" s="84">
        <v>3.0</v>
      </c>
      <c r="C7" s="1" t="s">
        <v>155</v>
      </c>
      <c r="D7" s="97" t="s">
        <v>453</v>
      </c>
      <c r="E7" s="97" t="s">
        <v>454</v>
      </c>
      <c r="F7" s="112" t="s">
        <v>455</v>
      </c>
      <c r="G7" s="97"/>
      <c r="H7" s="97" t="s">
        <v>456</v>
      </c>
      <c r="I7" s="126" t="s">
        <v>457</v>
      </c>
      <c r="J7" s="126" t="s">
        <v>458</v>
      </c>
      <c r="K7" s="126" t="s">
        <v>154</v>
      </c>
      <c r="L7" s="97" t="s">
        <v>459</v>
      </c>
      <c r="M7" s="97" t="s">
        <v>460</v>
      </c>
      <c r="N7" s="131" t="s">
        <v>461</v>
      </c>
      <c r="O7" s="131"/>
      <c r="P7" s="133"/>
      <c r="Q7" s="133" t="s">
        <v>462</v>
      </c>
      <c r="R7" s="131" t="s">
        <v>463</v>
      </c>
      <c r="S7" s="7" t="s">
        <v>464</v>
      </c>
      <c r="U7" s="7" t="s">
        <v>465</v>
      </c>
      <c r="V7" s="7" t="s">
        <v>466</v>
      </c>
      <c r="W7" s="32" t="s">
        <v>467</v>
      </c>
      <c r="X7" s="32" t="s">
        <v>468</v>
      </c>
      <c r="Y7" s="115"/>
      <c r="Z7" s="116"/>
      <c r="AA7" s="117"/>
      <c r="AB7" s="118"/>
      <c r="AC7" s="119"/>
      <c r="AD7" s="128" t="s">
        <v>469</v>
      </c>
      <c r="AE7" s="129"/>
      <c r="AF7" s="129"/>
      <c r="AG7" s="129"/>
      <c r="AH7" s="134" t="s">
        <v>470</v>
      </c>
      <c r="AI7" s="130"/>
      <c r="AJ7" s="130"/>
      <c r="AK7" s="110" t="s">
        <v>471</v>
      </c>
    </row>
    <row r="8">
      <c r="A8" s="79" t="s">
        <v>472</v>
      </c>
      <c r="B8" s="84">
        <v>4.0</v>
      </c>
      <c r="C8" s="1" t="s">
        <v>185</v>
      </c>
      <c r="D8" s="97" t="s">
        <v>473</v>
      </c>
      <c r="E8" s="97" t="s">
        <v>474</v>
      </c>
      <c r="F8" s="126"/>
      <c r="G8" s="97"/>
      <c r="H8" s="97" t="s">
        <v>475</v>
      </c>
      <c r="I8" s="126" t="s">
        <v>476</v>
      </c>
      <c r="J8" s="126" t="s">
        <v>477</v>
      </c>
      <c r="K8" s="126" t="s">
        <v>184</v>
      </c>
      <c r="L8" s="97" t="s">
        <v>478</v>
      </c>
      <c r="M8" s="135" t="s">
        <v>479</v>
      </c>
      <c r="N8" s="131" t="s">
        <v>480</v>
      </c>
      <c r="O8" s="131"/>
      <c r="P8" s="133"/>
      <c r="Q8" s="133" t="s">
        <v>481</v>
      </c>
      <c r="R8" s="131" t="s">
        <v>482</v>
      </c>
      <c r="S8" s="7" t="s">
        <v>483</v>
      </c>
      <c r="U8" s="7" t="s">
        <v>484</v>
      </c>
      <c r="V8" s="7" t="s">
        <v>485</v>
      </c>
      <c r="W8" s="32" t="s">
        <v>486</v>
      </c>
      <c r="X8" s="32" t="s">
        <v>219</v>
      </c>
      <c r="Y8" s="115"/>
      <c r="Z8" s="116"/>
      <c r="AA8" s="117"/>
      <c r="AB8" s="118"/>
      <c r="AC8" s="119"/>
      <c r="AD8" s="128" t="s">
        <v>487</v>
      </c>
      <c r="AE8" s="129"/>
      <c r="AF8" s="129"/>
      <c r="AG8" s="129"/>
      <c r="AH8" s="134" t="s">
        <v>488</v>
      </c>
      <c r="AI8" s="130"/>
      <c r="AJ8" s="130"/>
      <c r="AK8" s="110" t="s">
        <v>489</v>
      </c>
    </row>
    <row r="9">
      <c r="A9" s="79" t="s">
        <v>490</v>
      </c>
      <c r="B9" s="84">
        <v>5.0</v>
      </c>
      <c r="C9" s="1" t="s">
        <v>195</v>
      </c>
      <c r="D9" s="97" t="s">
        <v>491</v>
      </c>
      <c r="E9" s="97" t="s">
        <v>492</v>
      </c>
      <c r="F9" s="126"/>
      <c r="G9" s="97"/>
      <c r="H9" s="97" t="s">
        <v>493</v>
      </c>
      <c r="I9" s="126" t="s">
        <v>494</v>
      </c>
      <c r="J9" s="126" t="s">
        <v>495</v>
      </c>
      <c r="K9" s="126" t="s">
        <v>194</v>
      </c>
      <c r="L9" s="97" t="s">
        <v>496</v>
      </c>
      <c r="M9" s="97" t="s">
        <v>497</v>
      </c>
      <c r="N9" s="131" t="s">
        <v>498</v>
      </c>
      <c r="O9" s="126" t="s">
        <v>499</v>
      </c>
      <c r="P9" s="131"/>
      <c r="Q9" s="131" t="s">
        <v>500</v>
      </c>
      <c r="R9" s="131" t="s">
        <v>501</v>
      </c>
      <c r="S9" s="7" t="s">
        <v>502</v>
      </c>
      <c r="U9" s="7" t="s">
        <v>503</v>
      </c>
      <c r="V9" s="7" t="s">
        <v>504</v>
      </c>
      <c r="W9" s="32" t="s">
        <v>505</v>
      </c>
      <c r="X9" s="32" t="s">
        <v>506</v>
      </c>
      <c r="Y9" s="115"/>
      <c r="Z9" s="116"/>
      <c r="AA9" s="117"/>
      <c r="AB9" s="118"/>
      <c r="AC9" s="119"/>
      <c r="AD9" s="128" t="s">
        <v>507</v>
      </c>
      <c r="AE9" s="129"/>
      <c r="AF9" s="129"/>
      <c r="AG9" s="129"/>
      <c r="AH9" s="110" t="s">
        <v>508</v>
      </c>
      <c r="AI9" s="130"/>
      <c r="AJ9" s="130"/>
      <c r="AK9" s="110" t="s">
        <v>509</v>
      </c>
    </row>
    <row r="10">
      <c r="A10" s="79" t="s">
        <v>510</v>
      </c>
      <c r="B10" s="84">
        <v>6.0</v>
      </c>
      <c r="C10" s="1" t="s">
        <v>215</v>
      </c>
      <c r="D10" s="97" t="s">
        <v>511</v>
      </c>
      <c r="E10" s="97" t="s">
        <v>512</v>
      </c>
      <c r="F10" s="126"/>
      <c r="G10" s="97"/>
      <c r="H10" s="97" t="s">
        <v>513</v>
      </c>
      <c r="I10" s="126" t="s">
        <v>514</v>
      </c>
      <c r="J10" s="126" t="s">
        <v>447</v>
      </c>
      <c r="K10" s="126" t="s">
        <v>214</v>
      </c>
      <c r="L10" s="97" t="s">
        <v>515</v>
      </c>
      <c r="M10" s="97" t="s">
        <v>516</v>
      </c>
      <c r="N10" s="131" t="s">
        <v>517</v>
      </c>
      <c r="O10" s="126" t="s">
        <v>518</v>
      </c>
      <c r="P10" s="131"/>
      <c r="Q10" s="131" t="s">
        <v>519</v>
      </c>
      <c r="R10" s="131" t="s">
        <v>444</v>
      </c>
      <c r="S10" s="7" t="s">
        <v>520</v>
      </c>
      <c r="U10" s="7" t="s">
        <v>521</v>
      </c>
      <c r="V10" s="7" t="s">
        <v>522</v>
      </c>
      <c r="W10" s="32" t="s">
        <v>523</v>
      </c>
      <c r="X10" s="32" t="s">
        <v>524</v>
      </c>
      <c r="Y10" s="115"/>
      <c r="Z10" s="116"/>
      <c r="AA10" s="117"/>
      <c r="AB10" s="118"/>
      <c r="AC10" s="119"/>
      <c r="AD10" s="128" t="s">
        <v>525</v>
      </c>
      <c r="AE10" s="129"/>
      <c r="AF10" s="129"/>
      <c r="AG10" s="129"/>
      <c r="AH10" s="110" t="s">
        <v>526</v>
      </c>
      <c r="AI10" s="130"/>
      <c r="AJ10" s="130"/>
      <c r="AK10" s="110" t="s">
        <v>527</v>
      </c>
    </row>
    <row r="11">
      <c r="A11" s="79" t="s">
        <v>528</v>
      </c>
      <c r="B11" s="84">
        <v>7.0</v>
      </c>
      <c r="C11" s="1" t="s">
        <v>219</v>
      </c>
      <c r="D11" s="97" t="s">
        <v>529</v>
      </c>
      <c r="E11" s="97"/>
      <c r="F11" s="126"/>
      <c r="G11" s="97"/>
      <c r="H11" s="97" t="s">
        <v>530</v>
      </c>
      <c r="I11" s="126" t="s">
        <v>531</v>
      </c>
      <c r="J11" s="126" t="s">
        <v>532</v>
      </c>
      <c r="K11" s="126" t="s">
        <v>218</v>
      </c>
      <c r="L11" s="97" t="s">
        <v>533</v>
      </c>
      <c r="M11" s="97" t="s">
        <v>534</v>
      </c>
      <c r="N11" s="131" t="s">
        <v>535</v>
      </c>
      <c r="O11" s="126" t="s">
        <v>536</v>
      </c>
      <c r="P11" s="131"/>
      <c r="Q11" s="131" t="s">
        <v>537</v>
      </c>
      <c r="R11" s="131" t="s">
        <v>538</v>
      </c>
      <c r="S11" s="7" t="s">
        <v>539</v>
      </c>
      <c r="U11" s="7" t="s">
        <v>540</v>
      </c>
      <c r="V11" s="136" t="s">
        <v>541</v>
      </c>
      <c r="W11" s="32" t="s">
        <v>542</v>
      </c>
      <c r="X11" s="32" t="s">
        <v>51</v>
      </c>
      <c r="Y11" s="115"/>
      <c r="Z11" s="116"/>
      <c r="AA11" s="117"/>
      <c r="AB11" s="118"/>
      <c r="AC11" s="119"/>
      <c r="AD11" s="128" t="s">
        <v>543</v>
      </c>
      <c r="AE11" s="129"/>
      <c r="AF11" s="129"/>
      <c r="AG11" s="129"/>
      <c r="AH11" s="110" t="s">
        <v>544</v>
      </c>
      <c r="AI11" s="130"/>
      <c r="AJ11" s="130"/>
      <c r="AK11" s="137" t="s">
        <v>545</v>
      </c>
    </row>
    <row r="12">
      <c r="A12" s="79" t="s">
        <v>546</v>
      </c>
      <c r="B12" s="84">
        <v>8.0</v>
      </c>
      <c r="C12" s="1" t="s">
        <v>227</v>
      </c>
      <c r="D12" s="97" t="s">
        <v>547</v>
      </c>
      <c r="E12" s="97" t="s">
        <v>548</v>
      </c>
      <c r="F12" s="126"/>
      <c r="G12" s="97"/>
      <c r="H12" s="97" t="s">
        <v>549</v>
      </c>
      <c r="I12" s="126" t="s">
        <v>550</v>
      </c>
      <c r="J12" s="126" t="s">
        <v>551</v>
      </c>
      <c r="K12" s="126" t="s">
        <v>552</v>
      </c>
      <c r="L12" s="97" t="s">
        <v>553</v>
      </c>
      <c r="M12" s="97" t="s">
        <v>554</v>
      </c>
      <c r="N12" s="131" t="s">
        <v>555</v>
      </c>
      <c r="O12" s="126" t="s">
        <v>556</v>
      </c>
      <c r="P12" s="131"/>
      <c r="Q12" s="131" t="s">
        <v>557</v>
      </c>
      <c r="R12" s="131" t="s">
        <v>558</v>
      </c>
      <c r="S12" s="7" t="s">
        <v>559</v>
      </c>
      <c r="U12" s="7" t="s">
        <v>560</v>
      </c>
      <c r="V12" s="7" t="s">
        <v>561</v>
      </c>
      <c r="W12" s="32" t="s">
        <v>562</v>
      </c>
      <c r="X12" s="32" t="s">
        <v>16</v>
      </c>
      <c r="Y12" s="115"/>
      <c r="Z12" s="116"/>
      <c r="AA12" s="117"/>
      <c r="AB12" s="118"/>
      <c r="AC12" s="119"/>
      <c r="AD12" s="128" t="s">
        <v>563</v>
      </c>
      <c r="AE12" s="129"/>
      <c r="AF12" s="129"/>
      <c r="AG12" s="129"/>
      <c r="AH12" s="110" t="s">
        <v>564</v>
      </c>
      <c r="AI12" s="130"/>
      <c r="AJ12" s="130"/>
      <c r="AK12" s="137" t="s">
        <v>565</v>
      </c>
    </row>
    <row r="13">
      <c r="A13" s="79">
        <v>23.0</v>
      </c>
      <c r="B13" s="84">
        <v>9.0</v>
      </c>
      <c r="C13" s="1" t="s">
        <v>237</v>
      </c>
      <c r="D13" s="97" t="s">
        <v>428</v>
      </c>
      <c r="E13" s="97"/>
      <c r="F13" s="126"/>
      <c r="G13" s="97"/>
      <c r="H13" s="97"/>
      <c r="I13" s="126"/>
      <c r="J13" s="126"/>
      <c r="K13" s="126" t="s">
        <v>236</v>
      </c>
      <c r="L13" s="113"/>
      <c r="M13" s="97" t="s">
        <v>566</v>
      </c>
      <c r="N13" s="113"/>
      <c r="O13" s="113"/>
      <c r="P13" s="113"/>
      <c r="Q13" s="113"/>
      <c r="R13" s="113"/>
      <c r="V13" s="7" t="s">
        <v>567</v>
      </c>
      <c r="AD13" s="1" t="s">
        <v>165</v>
      </c>
      <c r="AE13" s="129"/>
      <c r="AF13" s="129"/>
      <c r="AG13" s="129"/>
      <c r="AH13" s="125"/>
      <c r="AI13" s="130"/>
      <c r="AJ13" s="130"/>
    </row>
    <row r="14">
      <c r="A14" s="76"/>
      <c r="B14" s="1"/>
      <c r="C14" s="1"/>
    </row>
    <row r="15">
      <c r="A15" s="77" t="s">
        <v>568</v>
      </c>
      <c r="B15" s="1"/>
      <c r="C15" s="1"/>
    </row>
    <row r="16">
      <c r="A16" s="79" t="s">
        <v>15</v>
      </c>
      <c r="B16" s="1">
        <v>1111.0</v>
      </c>
      <c r="C16" s="1" t="s">
        <v>64</v>
      </c>
    </row>
    <row r="17">
      <c r="A17" s="79" t="s">
        <v>98</v>
      </c>
      <c r="B17" s="1">
        <v>1411.0</v>
      </c>
      <c r="C17" s="1" t="s">
        <v>132</v>
      </c>
    </row>
    <row r="18">
      <c r="A18" s="79" t="s">
        <v>569</v>
      </c>
      <c r="B18" s="1">
        <v>1711.0</v>
      </c>
      <c r="C18" s="1" t="s">
        <v>16</v>
      </c>
    </row>
    <row r="19">
      <c r="A19" s="79" t="s">
        <v>135</v>
      </c>
      <c r="B19" s="1">
        <v>2011.0</v>
      </c>
      <c r="C19" s="1" t="s">
        <v>152</v>
      </c>
    </row>
  </sheetData>
  <mergeCells count="8">
    <mergeCell ref="B2:C2"/>
    <mergeCell ref="K2:O2"/>
    <mergeCell ref="W2:X2"/>
    <mergeCell ref="Y2:AA2"/>
    <mergeCell ref="AB2:AD2"/>
    <mergeCell ref="AE2:AK2"/>
    <mergeCell ref="AE3:AG3"/>
    <mergeCell ref="AI3:AJ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4.63"/>
    <col customWidth="1" min="3" max="3" width="4.5"/>
    <col customWidth="1" min="4" max="5" width="4.38"/>
    <col customWidth="1" min="6" max="6" width="55.13"/>
  </cols>
  <sheetData>
    <row r="1">
      <c r="A1" s="1" t="s">
        <v>570</v>
      </c>
      <c r="B1" s="1">
        <v>1111.0</v>
      </c>
      <c r="C1" s="1">
        <v>1411.0</v>
      </c>
      <c r="D1" s="1">
        <v>1711.0</v>
      </c>
      <c r="E1" s="1">
        <v>2011.0</v>
      </c>
      <c r="F1" s="1" t="s">
        <v>571</v>
      </c>
      <c r="G1" s="1" t="s">
        <v>572</v>
      </c>
      <c r="H1" s="5"/>
      <c r="I1" s="5"/>
      <c r="J1" s="5"/>
      <c r="K1" s="5"/>
      <c r="L1" s="5"/>
      <c r="M1" s="5"/>
      <c r="N1" s="5"/>
      <c r="O1" s="5"/>
      <c r="P1" s="5"/>
      <c r="Q1" s="5"/>
      <c r="R1" s="5"/>
      <c r="S1" s="5"/>
      <c r="T1" s="5"/>
      <c r="U1" s="5"/>
      <c r="V1" s="5"/>
      <c r="W1" s="5"/>
      <c r="X1" s="5"/>
      <c r="Y1" s="5"/>
      <c r="Z1" s="5"/>
    </row>
    <row r="2">
      <c r="A2" s="7" t="s">
        <v>573</v>
      </c>
      <c r="B2" s="7" t="b">
        <v>0</v>
      </c>
      <c r="C2" s="7" t="b">
        <v>0</v>
      </c>
      <c r="D2" s="7" t="b">
        <v>1</v>
      </c>
      <c r="E2" s="7" t="b">
        <v>0</v>
      </c>
      <c r="F2" s="7" t="s">
        <v>574</v>
      </c>
      <c r="G2" s="7" t="s">
        <v>575</v>
      </c>
    </row>
    <row r="3">
      <c r="A3" s="7" t="s">
        <v>576</v>
      </c>
      <c r="B3" s="7" t="b">
        <v>0</v>
      </c>
      <c r="C3" s="7" t="b">
        <v>0</v>
      </c>
      <c r="D3" s="7" t="b">
        <v>1</v>
      </c>
      <c r="E3" s="7" t="b">
        <v>0</v>
      </c>
      <c r="F3" s="7" t="s">
        <v>577</v>
      </c>
      <c r="G3" s="7" t="s">
        <v>578</v>
      </c>
    </row>
    <row r="4">
      <c r="A4" s="7" t="s">
        <v>579</v>
      </c>
      <c r="B4" s="7" t="b">
        <v>1</v>
      </c>
      <c r="C4" s="7" t="b">
        <v>1</v>
      </c>
      <c r="D4" s="7" t="b">
        <v>1</v>
      </c>
      <c r="E4" s="7" t="b">
        <v>0</v>
      </c>
      <c r="F4" s="7" t="s">
        <v>580</v>
      </c>
      <c r="G4" s="7" t="s">
        <v>581</v>
      </c>
    </row>
    <row r="5">
      <c r="A5" s="7" t="s">
        <v>582</v>
      </c>
      <c r="B5" s="7" t="b">
        <v>1</v>
      </c>
      <c r="C5" s="7" t="b">
        <v>1</v>
      </c>
      <c r="D5" s="7" t="b">
        <v>0</v>
      </c>
      <c r="E5" s="7" t="b">
        <v>0</v>
      </c>
      <c r="F5" s="7" t="s">
        <v>583</v>
      </c>
      <c r="G5" s="7" t="s">
        <v>584</v>
      </c>
    </row>
    <row r="6">
      <c r="A6" s="7" t="s">
        <v>585</v>
      </c>
      <c r="B6" s="7" t="b">
        <v>1</v>
      </c>
      <c r="C6" s="7" t="b">
        <v>0</v>
      </c>
      <c r="D6" s="7" t="b">
        <v>0</v>
      </c>
      <c r="E6" s="7" t="b">
        <v>0</v>
      </c>
      <c r="F6" s="7" t="s">
        <v>586</v>
      </c>
      <c r="G6" s="7" t="s">
        <v>587</v>
      </c>
    </row>
    <row r="7">
      <c r="A7" s="7" t="s">
        <v>588</v>
      </c>
      <c r="B7" s="7" t="b">
        <v>1</v>
      </c>
      <c r="C7" s="7" t="b">
        <v>1</v>
      </c>
      <c r="D7" s="7" t="b">
        <v>0</v>
      </c>
      <c r="E7" s="7" t="b">
        <v>0</v>
      </c>
      <c r="F7" s="7" t="s">
        <v>589</v>
      </c>
      <c r="G7" s="7" t="s">
        <v>590</v>
      </c>
    </row>
    <row r="8">
      <c r="A8" s="7" t="s">
        <v>591</v>
      </c>
      <c r="B8" s="7" t="b">
        <v>1</v>
      </c>
      <c r="C8" s="7" t="b">
        <v>0</v>
      </c>
      <c r="D8" s="7" t="b">
        <v>0</v>
      </c>
      <c r="E8" s="7" t="b">
        <v>0</v>
      </c>
      <c r="F8" s="7" t="s">
        <v>592</v>
      </c>
      <c r="G8" s="7" t="s">
        <v>593</v>
      </c>
    </row>
    <row r="9">
      <c r="A9" s="7" t="s">
        <v>594</v>
      </c>
      <c r="B9" s="7" t="b">
        <v>0</v>
      </c>
      <c r="C9" s="7" t="b">
        <v>1</v>
      </c>
      <c r="D9" s="7" t="b">
        <v>0</v>
      </c>
      <c r="E9" s="7" t="b">
        <v>0</v>
      </c>
      <c r="F9" s="7" t="s">
        <v>595</v>
      </c>
      <c r="G9" s="7" t="s">
        <v>596</v>
      </c>
    </row>
    <row r="10">
      <c r="A10" s="7" t="s">
        <v>597</v>
      </c>
      <c r="B10" s="7" t="b">
        <v>0</v>
      </c>
      <c r="C10" s="7" t="b">
        <v>1</v>
      </c>
      <c r="D10" s="7" t="b">
        <v>0</v>
      </c>
      <c r="E10" s="7" t="b">
        <v>0</v>
      </c>
      <c r="F10" s="7" t="s">
        <v>598</v>
      </c>
      <c r="G10" s="7" t="s">
        <v>599</v>
      </c>
    </row>
    <row r="11">
      <c r="A11" s="7" t="s">
        <v>600</v>
      </c>
      <c r="B11" s="7" t="b">
        <v>1</v>
      </c>
      <c r="C11" s="7" t="b">
        <v>1</v>
      </c>
      <c r="D11" s="7" t="b">
        <v>0</v>
      </c>
      <c r="E11" s="7" t="b">
        <v>0</v>
      </c>
      <c r="F11" s="7" t="s">
        <v>601</v>
      </c>
      <c r="G11" s="7" t="s">
        <v>602</v>
      </c>
    </row>
    <row r="12">
      <c r="A12" s="7" t="s">
        <v>603</v>
      </c>
      <c r="B12" s="7" t="b">
        <v>0</v>
      </c>
      <c r="C12" s="7" t="b">
        <v>0</v>
      </c>
      <c r="D12" s="7" t="b">
        <v>1</v>
      </c>
      <c r="E12" s="7" t="b">
        <v>0</v>
      </c>
      <c r="F12" s="7" t="s">
        <v>604</v>
      </c>
      <c r="G12" s="7" t="s">
        <v>605</v>
      </c>
    </row>
    <row r="13">
      <c r="A13" s="7" t="s">
        <v>606</v>
      </c>
      <c r="B13" s="7" t="b">
        <v>0</v>
      </c>
      <c r="C13" s="7" t="b">
        <v>0</v>
      </c>
      <c r="D13" s="7" t="b">
        <v>1</v>
      </c>
      <c r="E13" s="7" t="b">
        <v>1</v>
      </c>
      <c r="F13" s="7" t="s">
        <v>607</v>
      </c>
      <c r="G13" s="7" t="s">
        <v>608</v>
      </c>
    </row>
    <row r="14">
      <c r="A14" s="7" t="s">
        <v>609</v>
      </c>
      <c r="B14" s="7" t="b">
        <v>0</v>
      </c>
      <c r="C14" s="7" t="b">
        <v>1</v>
      </c>
      <c r="D14" s="7" t="b">
        <v>1</v>
      </c>
      <c r="E14" s="7" t="b">
        <v>0</v>
      </c>
      <c r="F14" s="7" t="s">
        <v>610</v>
      </c>
      <c r="G14" s="7" t="s">
        <v>611</v>
      </c>
    </row>
  </sheetData>
  <conditionalFormatting sqref="B2:E14">
    <cfRule type="expression" dxfId="5" priority="1">
      <formula>B2=TRUE</formula>
    </cfRule>
  </conditionalFormatting>
  <conditionalFormatting sqref="B2:E14">
    <cfRule type="expression" dxfId="6" priority="2">
      <formula>B2=FALSE</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612</v>
      </c>
      <c r="B1" s="1" t="s">
        <v>613</v>
      </c>
      <c r="C1" s="1" t="s">
        <v>12</v>
      </c>
      <c r="D1" s="5"/>
      <c r="E1" s="5"/>
      <c r="F1" s="5"/>
      <c r="G1" s="5"/>
      <c r="H1" s="5"/>
      <c r="I1" s="5"/>
      <c r="J1" s="5"/>
      <c r="K1" s="5"/>
      <c r="L1" s="5"/>
      <c r="M1" s="5"/>
      <c r="N1" s="5"/>
      <c r="O1" s="5"/>
      <c r="P1" s="5"/>
      <c r="Q1" s="5"/>
      <c r="R1" s="5"/>
      <c r="S1" s="5"/>
      <c r="T1" s="5"/>
      <c r="U1" s="5"/>
      <c r="V1" s="5"/>
      <c r="W1" s="5"/>
      <c r="X1" s="5"/>
      <c r="Y1" s="5"/>
      <c r="Z1" s="5"/>
    </row>
    <row r="2">
      <c r="A2" s="7" t="s">
        <v>388</v>
      </c>
      <c r="B2" s="7" t="s">
        <v>16</v>
      </c>
      <c r="C2" s="7" t="s">
        <v>614</v>
      </c>
    </row>
    <row r="3">
      <c r="A3" s="7" t="s">
        <v>388</v>
      </c>
      <c r="B3" s="7" t="s">
        <v>75</v>
      </c>
      <c r="C3" s="7" t="s">
        <v>615</v>
      </c>
    </row>
    <row r="4">
      <c r="A4" s="7" t="s">
        <v>388</v>
      </c>
      <c r="B4" s="7" t="s">
        <v>155</v>
      </c>
      <c r="C4" s="7" t="s">
        <v>616</v>
      </c>
    </row>
    <row r="5">
      <c r="A5" s="7" t="s">
        <v>388</v>
      </c>
      <c r="B5" s="7" t="s">
        <v>185</v>
      </c>
      <c r="C5" s="7" t="s">
        <v>617</v>
      </c>
    </row>
    <row r="6">
      <c r="A6" s="7" t="s">
        <v>388</v>
      </c>
      <c r="B6" s="7" t="s">
        <v>195</v>
      </c>
      <c r="C6" s="7" t="s">
        <v>618</v>
      </c>
    </row>
    <row r="7">
      <c r="A7" s="7" t="s">
        <v>388</v>
      </c>
      <c r="B7" s="7" t="s">
        <v>215</v>
      </c>
      <c r="C7" s="7" t="s">
        <v>619</v>
      </c>
    </row>
    <row r="8">
      <c r="A8" s="7" t="s">
        <v>388</v>
      </c>
      <c r="B8" s="7" t="s">
        <v>219</v>
      </c>
      <c r="C8" s="7" t="s">
        <v>620</v>
      </c>
    </row>
    <row r="9">
      <c r="A9" s="7" t="s">
        <v>388</v>
      </c>
      <c r="B9" s="7" t="s">
        <v>227</v>
      </c>
      <c r="C9" s="7" t="s">
        <v>621</v>
      </c>
    </row>
    <row r="10">
      <c r="A10" s="7" t="s">
        <v>388</v>
      </c>
      <c r="B10" s="7" t="s">
        <v>237</v>
      </c>
      <c r="C10" s="7" t="s">
        <v>622</v>
      </c>
    </row>
    <row r="11">
      <c r="A11" s="7" t="s">
        <v>388</v>
      </c>
      <c r="B11" s="7" t="s">
        <v>64</v>
      </c>
      <c r="C11" s="7" t="s">
        <v>623</v>
      </c>
    </row>
    <row r="12">
      <c r="A12" s="7" t="s">
        <v>388</v>
      </c>
      <c r="B12" s="7" t="s">
        <v>132</v>
      </c>
      <c r="C12" s="7" t="s">
        <v>624</v>
      </c>
    </row>
    <row r="13">
      <c r="A13" s="7" t="s">
        <v>388</v>
      </c>
      <c r="B13" s="7" t="s">
        <v>152</v>
      </c>
      <c r="C13" s="7" t="s">
        <v>625</v>
      </c>
    </row>
    <row r="14">
      <c r="A14" s="7" t="s">
        <v>626</v>
      </c>
      <c r="B14" s="7" t="s">
        <v>627</v>
      </c>
      <c r="C14" s="7" t="s">
        <v>628</v>
      </c>
    </row>
    <row r="15">
      <c r="A15" s="7" t="s">
        <v>626</v>
      </c>
      <c r="B15" s="7" t="s">
        <v>629</v>
      </c>
      <c r="C15" s="7" t="s">
        <v>630</v>
      </c>
    </row>
    <row r="16">
      <c r="A16" s="7" t="s">
        <v>626</v>
      </c>
      <c r="B16" s="7" t="s">
        <v>631</v>
      </c>
      <c r="C16" s="7" t="s">
        <v>632</v>
      </c>
    </row>
    <row r="17">
      <c r="A17" s="7" t="s">
        <v>626</v>
      </c>
      <c r="B17" s="7" t="s">
        <v>633</v>
      </c>
      <c r="C17" s="7" t="s">
        <v>634</v>
      </c>
    </row>
    <row r="18">
      <c r="A18" s="7" t="s">
        <v>626</v>
      </c>
      <c r="B18" s="7" t="s">
        <v>635</v>
      </c>
      <c r="C18" s="7" t="s">
        <v>636</v>
      </c>
    </row>
    <row r="19">
      <c r="A19" s="7" t="s">
        <v>626</v>
      </c>
      <c r="B19" s="7" t="s">
        <v>637</v>
      </c>
      <c r="C19" s="7" t="s">
        <v>638</v>
      </c>
    </row>
    <row r="20">
      <c r="A20" s="7" t="s">
        <v>626</v>
      </c>
      <c r="B20" s="7" t="s">
        <v>639</v>
      </c>
      <c r="C20" s="7" t="s">
        <v>640</v>
      </c>
    </row>
    <row r="21">
      <c r="A21" s="7" t="s">
        <v>626</v>
      </c>
      <c r="B21" s="7" t="s">
        <v>641</v>
      </c>
      <c r="C21" s="7" t="s">
        <v>642</v>
      </c>
    </row>
    <row r="22">
      <c r="A22" s="7" t="s">
        <v>626</v>
      </c>
      <c r="B22" s="7" t="s">
        <v>643</v>
      </c>
      <c r="C22" s="7" t="s">
        <v>644</v>
      </c>
    </row>
    <row r="23">
      <c r="A23" s="7" t="s">
        <v>626</v>
      </c>
      <c r="B23" s="7" t="s">
        <v>645</v>
      </c>
      <c r="C23" s="7" t="s">
        <v>646</v>
      </c>
    </row>
    <row r="24">
      <c r="A24" s="7" t="s">
        <v>626</v>
      </c>
      <c r="B24" s="7" t="s">
        <v>647</v>
      </c>
      <c r="C24" s="7" t="s">
        <v>648</v>
      </c>
    </row>
    <row r="25">
      <c r="A25" s="7" t="s">
        <v>626</v>
      </c>
      <c r="B25" s="7" t="s">
        <v>649</v>
      </c>
      <c r="C25" s="7" t="s">
        <v>650</v>
      </c>
    </row>
    <row r="26">
      <c r="A26" s="7" t="s">
        <v>626</v>
      </c>
      <c r="B26" s="7" t="s">
        <v>651</v>
      </c>
      <c r="C26" s="7" t="s">
        <v>652</v>
      </c>
    </row>
    <row r="27">
      <c r="A27" s="7" t="s">
        <v>626</v>
      </c>
      <c r="B27" s="7" t="s">
        <v>653</v>
      </c>
      <c r="C27" s="7" t="s">
        <v>654</v>
      </c>
    </row>
    <row r="28">
      <c r="A28" s="7" t="s">
        <v>626</v>
      </c>
      <c r="B28" s="7" t="s">
        <v>655</v>
      </c>
      <c r="C28" s="7" t="s">
        <v>656</v>
      </c>
    </row>
    <row r="29">
      <c r="A29" s="7" t="s">
        <v>626</v>
      </c>
      <c r="B29" s="7" t="s">
        <v>657</v>
      </c>
      <c r="C29" s="7" t="s">
        <v>658</v>
      </c>
    </row>
    <row r="30">
      <c r="A30" s="7" t="s">
        <v>626</v>
      </c>
      <c r="B30" s="7" t="s">
        <v>659</v>
      </c>
      <c r="C30" s="7" t="s">
        <v>660</v>
      </c>
    </row>
    <row r="31">
      <c r="A31" s="7" t="s">
        <v>626</v>
      </c>
      <c r="B31" s="7" t="s">
        <v>661</v>
      </c>
      <c r="C31" s="7" t="s">
        <v>662</v>
      </c>
    </row>
    <row r="32">
      <c r="A32" s="7" t="s">
        <v>626</v>
      </c>
      <c r="B32" s="7" t="s">
        <v>663</v>
      </c>
      <c r="C32" s="7" t="s">
        <v>664</v>
      </c>
    </row>
    <row r="33">
      <c r="A33" s="7" t="s">
        <v>626</v>
      </c>
      <c r="B33" s="7" t="s">
        <v>665</v>
      </c>
      <c r="C33" s="7" t="s">
        <v>666</v>
      </c>
    </row>
    <row r="34">
      <c r="A34" s="7" t="s">
        <v>626</v>
      </c>
      <c r="B34" s="7" t="s">
        <v>667</v>
      </c>
      <c r="C34" s="7" t="s">
        <v>668</v>
      </c>
    </row>
    <row r="35">
      <c r="A35" s="7" t="s">
        <v>626</v>
      </c>
      <c r="B35" s="7" t="s">
        <v>669</v>
      </c>
      <c r="C35" s="7" t="s">
        <v>670</v>
      </c>
    </row>
    <row r="36">
      <c r="A36" s="7" t="s">
        <v>626</v>
      </c>
      <c r="B36" s="7" t="s">
        <v>671</v>
      </c>
      <c r="C36" s="7" t="s">
        <v>672</v>
      </c>
    </row>
    <row r="37">
      <c r="A37" s="7" t="s">
        <v>626</v>
      </c>
      <c r="B37" s="7" t="s">
        <v>673</v>
      </c>
      <c r="C37" s="7" t="s">
        <v>674</v>
      </c>
    </row>
    <row r="38">
      <c r="A38" s="7" t="s">
        <v>626</v>
      </c>
      <c r="B38" s="7" t="s">
        <v>675</v>
      </c>
      <c r="C38" s="7" t="s">
        <v>676</v>
      </c>
    </row>
    <row r="39">
      <c r="A39" s="7" t="s">
        <v>626</v>
      </c>
      <c r="B39" s="7" t="s">
        <v>677</v>
      </c>
      <c r="C39" s="7" t="s">
        <v>678</v>
      </c>
    </row>
    <row r="40">
      <c r="A40" s="7" t="s">
        <v>626</v>
      </c>
      <c r="B40" s="7" t="s">
        <v>679</v>
      </c>
      <c r="C40" s="7" t="s">
        <v>680</v>
      </c>
    </row>
    <row r="41">
      <c r="A41" s="7" t="s">
        <v>626</v>
      </c>
      <c r="B41" s="7" t="s">
        <v>681</v>
      </c>
      <c r="C41" s="7" t="s">
        <v>682</v>
      </c>
    </row>
    <row r="42">
      <c r="A42" s="7" t="s">
        <v>626</v>
      </c>
      <c r="B42" s="7" t="s">
        <v>683</v>
      </c>
      <c r="C42" s="7" t="s">
        <v>684</v>
      </c>
    </row>
    <row r="43">
      <c r="A43" s="7" t="s">
        <v>685</v>
      </c>
      <c r="B43" s="7" t="s">
        <v>686</v>
      </c>
      <c r="C43" s="7" t="s">
        <v>687</v>
      </c>
    </row>
    <row r="44">
      <c r="A44" s="7" t="s">
        <v>685</v>
      </c>
      <c r="B44" s="7" t="s">
        <v>688</v>
      </c>
      <c r="C44" s="7" t="s">
        <v>689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2.25"/>
    <col customWidth="1" min="4" max="4" width="30.75"/>
  </cols>
  <sheetData>
    <row r="1">
      <c r="A1" s="1" t="s">
        <v>0</v>
      </c>
      <c r="B1" s="1" t="s">
        <v>11</v>
      </c>
      <c r="C1" s="1" t="s">
        <v>690</v>
      </c>
      <c r="D1" s="1" t="s">
        <v>691</v>
      </c>
      <c r="E1" s="1" t="s">
        <v>692</v>
      </c>
      <c r="F1" s="5"/>
      <c r="G1" s="5"/>
      <c r="H1" s="5"/>
      <c r="I1" s="5"/>
      <c r="J1" s="5"/>
      <c r="K1" s="5"/>
      <c r="L1" s="5"/>
      <c r="M1" s="5"/>
      <c r="N1" s="5"/>
      <c r="O1" s="5"/>
      <c r="P1" s="5"/>
      <c r="Q1" s="5"/>
      <c r="R1" s="5"/>
      <c r="S1" s="5"/>
      <c r="T1" s="5"/>
      <c r="U1" s="5"/>
      <c r="V1" s="5"/>
      <c r="W1" s="5"/>
      <c r="X1" s="5"/>
      <c r="Y1" s="5"/>
      <c r="Z1" s="5"/>
      <c r="AA1" s="5"/>
    </row>
    <row r="2">
      <c r="A2" s="7" t="s">
        <v>13</v>
      </c>
      <c r="B2" s="138">
        <v>1711.0</v>
      </c>
      <c r="C2" s="139" t="s">
        <v>693</v>
      </c>
      <c r="D2" s="140" t="s">
        <v>694</v>
      </c>
      <c r="E2" s="139" t="s">
        <v>695</v>
      </c>
    </row>
    <row r="3">
      <c r="A3" s="7" t="s">
        <v>13</v>
      </c>
      <c r="B3" s="138">
        <v>1711.0</v>
      </c>
      <c r="C3" s="139" t="s">
        <v>696</v>
      </c>
      <c r="D3" s="140" t="s">
        <v>697</v>
      </c>
      <c r="E3" s="139" t="s">
        <v>698</v>
      </c>
    </row>
    <row r="4">
      <c r="A4" s="7" t="s">
        <v>13</v>
      </c>
      <c r="B4" s="138">
        <v>1711.0</v>
      </c>
      <c r="C4" s="139" t="s">
        <v>699</v>
      </c>
      <c r="D4" s="140" t="s">
        <v>697</v>
      </c>
      <c r="E4" s="139" t="s">
        <v>700</v>
      </c>
    </row>
    <row r="5">
      <c r="A5" s="7" t="s">
        <v>13</v>
      </c>
      <c r="B5" s="138">
        <v>1711.0</v>
      </c>
      <c r="C5" s="139" t="s">
        <v>696</v>
      </c>
      <c r="D5" s="140" t="s">
        <v>697</v>
      </c>
      <c r="E5" s="139" t="s">
        <v>701</v>
      </c>
    </row>
    <row r="6">
      <c r="A6" s="7" t="s">
        <v>13</v>
      </c>
      <c r="B6" s="138">
        <v>1711.0</v>
      </c>
      <c r="C6" s="139" t="s">
        <v>702</v>
      </c>
      <c r="D6" s="140" t="s">
        <v>697</v>
      </c>
      <c r="E6" s="139" t="s">
        <v>703</v>
      </c>
    </row>
    <row r="7">
      <c r="A7" s="7" t="s">
        <v>20</v>
      </c>
      <c r="B7" s="7">
        <v>1711.0</v>
      </c>
      <c r="C7" s="7" t="s">
        <v>704</v>
      </c>
      <c r="D7" s="140" t="s">
        <v>705</v>
      </c>
      <c r="E7" s="7" t="s">
        <v>706</v>
      </c>
    </row>
    <row r="8">
      <c r="A8" s="7" t="s">
        <v>20</v>
      </c>
      <c r="B8" s="7">
        <v>1711.0</v>
      </c>
      <c r="C8" s="7" t="s">
        <v>707</v>
      </c>
      <c r="D8" s="140" t="s">
        <v>697</v>
      </c>
      <c r="E8" s="7" t="s">
        <v>708</v>
      </c>
    </row>
    <row r="9">
      <c r="A9" s="7" t="s">
        <v>20</v>
      </c>
      <c r="B9" s="7">
        <v>1711.0</v>
      </c>
      <c r="C9" s="7" t="s">
        <v>709</v>
      </c>
      <c r="D9" s="140" t="s">
        <v>710</v>
      </c>
      <c r="E9" s="7" t="s">
        <v>711</v>
      </c>
    </row>
    <row r="10">
      <c r="A10" s="7" t="s">
        <v>20</v>
      </c>
      <c r="B10" s="7">
        <v>1711.0</v>
      </c>
      <c r="C10" s="7" t="s">
        <v>712</v>
      </c>
      <c r="D10" s="140" t="s">
        <v>713</v>
      </c>
      <c r="E10" s="7" t="s">
        <v>714</v>
      </c>
    </row>
    <row r="11">
      <c r="A11" s="7" t="s">
        <v>20</v>
      </c>
      <c r="B11" s="7">
        <v>1711.0</v>
      </c>
      <c r="C11" s="7" t="s">
        <v>715</v>
      </c>
      <c r="D11" s="140" t="s">
        <v>716</v>
      </c>
      <c r="E11" s="7" t="s">
        <v>717</v>
      </c>
    </row>
    <row r="12">
      <c r="A12" s="7" t="s">
        <v>20</v>
      </c>
      <c r="B12" s="7">
        <v>1711.0</v>
      </c>
      <c r="C12" s="7" t="s">
        <v>718</v>
      </c>
      <c r="D12" s="140" t="s">
        <v>719</v>
      </c>
      <c r="E12" s="7" t="s">
        <v>720</v>
      </c>
    </row>
    <row r="13">
      <c r="A13" s="7" t="s">
        <v>22</v>
      </c>
      <c r="B13" s="141">
        <v>1711.0</v>
      </c>
      <c r="C13" s="142" t="s">
        <v>721</v>
      </c>
      <c r="D13" s="143" t="s">
        <v>697</v>
      </c>
      <c r="E13" s="142" t="s">
        <v>698</v>
      </c>
    </row>
    <row r="14">
      <c r="A14" s="7" t="s">
        <v>22</v>
      </c>
      <c r="B14" s="141">
        <v>1711.0</v>
      </c>
      <c r="C14" s="142" t="s">
        <v>51</v>
      </c>
      <c r="D14" s="143" t="s">
        <v>697</v>
      </c>
      <c r="E14" s="142" t="s">
        <v>722</v>
      </c>
    </row>
    <row r="15">
      <c r="A15" s="7" t="s">
        <v>22</v>
      </c>
      <c r="B15" s="141">
        <v>1711.0</v>
      </c>
      <c r="C15" s="142" t="s">
        <v>723</v>
      </c>
      <c r="D15" s="143" t="s">
        <v>724</v>
      </c>
      <c r="E15" s="142" t="s">
        <v>725</v>
      </c>
    </row>
    <row r="16">
      <c r="A16" s="7" t="s">
        <v>22</v>
      </c>
      <c r="B16" s="141">
        <v>1711.0</v>
      </c>
      <c r="C16" s="142" t="s">
        <v>726</v>
      </c>
      <c r="D16" s="143" t="s">
        <v>727</v>
      </c>
      <c r="E16" s="142" t="s">
        <v>728</v>
      </c>
    </row>
    <row r="17">
      <c r="A17" s="7" t="s">
        <v>22</v>
      </c>
      <c r="B17" s="141">
        <v>1711.0</v>
      </c>
      <c r="C17" s="142" t="s">
        <v>729</v>
      </c>
      <c r="D17" s="143" t="s">
        <v>730</v>
      </c>
      <c r="E17" s="142" t="s">
        <v>731</v>
      </c>
    </row>
    <row r="18">
      <c r="A18" s="7" t="s">
        <v>22</v>
      </c>
      <c r="B18" s="141">
        <v>1711.0</v>
      </c>
      <c r="C18" s="144" t="s">
        <v>732</v>
      </c>
      <c r="D18" s="143" t="s">
        <v>697</v>
      </c>
      <c r="E18" s="142" t="s">
        <v>733</v>
      </c>
    </row>
    <row r="19">
      <c r="A19" s="7" t="s">
        <v>22</v>
      </c>
      <c r="B19" s="141">
        <v>1711.0</v>
      </c>
      <c r="C19" s="142" t="s">
        <v>734</v>
      </c>
      <c r="D19" s="143" t="s">
        <v>735</v>
      </c>
      <c r="E19" s="142" t="s">
        <v>736</v>
      </c>
    </row>
    <row r="20">
      <c r="A20" s="7" t="s">
        <v>22</v>
      </c>
      <c r="B20" s="141">
        <v>1711.0</v>
      </c>
      <c r="C20" s="142" t="s">
        <v>737</v>
      </c>
      <c r="D20" s="143" t="s">
        <v>738</v>
      </c>
      <c r="E20" s="142" t="s">
        <v>739</v>
      </c>
    </row>
    <row r="21">
      <c r="A21" s="7" t="s">
        <v>22</v>
      </c>
      <c r="B21" s="141">
        <v>1711.0</v>
      </c>
      <c r="C21" s="142" t="s">
        <v>740</v>
      </c>
      <c r="D21" s="143" t="s">
        <v>697</v>
      </c>
      <c r="E21" s="142" t="s">
        <v>741</v>
      </c>
    </row>
    <row r="22">
      <c r="A22" s="7" t="s">
        <v>25</v>
      </c>
      <c r="B22" s="141">
        <v>1711.0</v>
      </c>
      <c r="C22" s="142" t="s">
        <v>742</v>
      </c>
      <c r="D22" s="143" t="s">
        <v>697</v>
      </c>
      <c r="E22" s="142" t="s">
        <v>743</v>
      </c>
    </row>
    <row r="23">
      <c r="A23" s="7" t="s">
        <v>25</v>
      </c>
      <c r="B23" s="141">
        <v>1711.0</v>
      </c>
      <c r="C23" s="142" t="s">
        <v>744</v>
      </c>
      <c r="D23" s="143" t="s">
        <v>697</v>
      </c>
      <c r="E23" s="142" t="s">
        <v>745</v>
      </c>
    </row>
    <row r="24">
      <c r="A24" s="7" t="s">
        <v>25</v>
      </c>
      <c r="B24" s="141">
        <v>1711.0</v>
      </c>
      <c r="C24" s="142" t="s">
        <v>746</v>
      </c>
      <c r="D24" s="143" t="s">
        <v>747</v>
      </c>
      <c r="E24" s="142" t="s">
        <v>748</v>
      </c>
    </row>
    <row r="25">
      <c r="A25" s="7" t="s">
        <v>25</v>
      </c>
      <c r="B25" s="141">
        <v>1711.0</v>
      </c>
      <c r="C25" s="142" t="s">
        <v>749</v>
      </c>
      <c r="D25" s="143" t="s">
        <v>750</v>
      </c>
      <c r="E25" s="142" t="s">
        <v>751</v>
      </c>
    </row>
    <row r="26">
      <c r="A26" s="7" t="s">
        <v>25</v>
      </c>
      <c r="B26" s="141">
        <v>1711.0</v>
      </c>
      <c r="C26" s="142" t="s">
        <v>752</v>
      </c>
      <c r="D26" s="143" t="s">
        <v>716</v>
      </c>
      <c r="E26" s="142" t="s">
        <v>753</v>
      </c>
    </row>
    <row r="27">
      <c r="A27" s="7" t="s">
        <v>25</v>
      </c>
      <c r="B27" s="141">
        <v>1711.0</v>
      </c>
      <c r="C27" s="142" t="s">
        <v>754</v>
      </c>
      <c r="D27" s="143" t="s">
        <v>755</v>
      </c>
      <c r="E27" s="142" t="s">
        <v>756</v>
      </c>
    </row>
    <row r="28">
      <c r="A28" s="7" t="s">
        <v>25</v>
      </c>
      <c r="B28" s="141">
        <v>1711.0</v>
      </c>
      <c r="C28" s="142" t="s">
        <v>757</v>
      </c>
      <c r="D28" s="143" t="s">
        <v>724</v>
      </c>
      <c r="E28" s="142" t="s">
        <v>758</v>
      </c>
    </row>
    <row r="29">
      <c r="A29" s="7" t="s">
        <v>28</v>
      </c>
      <c r="B29" s="141">
        <v>1711.0</v>
      </c>
      <c r="C29" s="142" t="s">
        <v>51</v>
      </c>
      <c r="D29" s="140" t="s">
        <v>759</v>
      </c>
      <c r="E29" s="139" t="s">
        <v>760</v>
      </c>
    </row>
    <row r="30">
      <c r="A30" s="7" t="s">
        <v>28</v>
      </c>
      <c r="B30" s="141">
        <v>1711.0</v>
      </c>
      <c r="C30" s="142" t="s">
        <v>761</v>
      </c>
      <c r="D30" s="140" t="s">
        <v>762</v>
      </c>
      <c r="E30" s="139" t="s">
        <v>763</v>
      </c>
    </row>
    <row r="31">
      <c r="A31" s="7" t="s">
        <v>28</v>
      </c>
      <c r="B31" s="141">
        <v>1711.0</v>
      </c>
      <c r="C31" s="142" t="s">
        <v>761</v>
      </c>
      <c r="D31" s="140" t="s">
        <v>764</v>
      </c>
      <c r="E31" s="139" t="s">
        <v>765</v>
      </c>
    </row>
    <row r="32">
      <c r="A32" s="7" t="s">
        <v>31</v>
      </c>
      <c r="B32" s="141">
        <v>1711.0</v>
      </c>
      <c r="C32" s="142" t="s">
        <v>766</v>
      </c>
      <c r="D32" s="140" t="s">
        <v>767</v>
      </c>
      <c r="E32" s="139" t="s">
        <v>768</v>
      </c>
    </row>
    <row r="33">
      <c r="A33" s="7" t="s">
        <v>31</v>
      </c>
      <c r="B33" s="141">
        <v>1711.0</v>
      </c>
      <c r="C33" s="142" t="s">
        <v>769</v>
      </c>
      <c r="D33" s="140" t="s">
        <v>770</v>
      </c>
      <c r="E33" s="139" t="s">
        <v>771</v>
      </c>
    </row>
    <row r="34">
      <c r="A34" s="7" t="s">
        <v>31</v>
      </c>
      <c r="B34" s="141">
        <v>1711.0</v>
      </c>
      <c r="C34" s="142" t="s">
        <v>772</v>
      </c>
      <c r="D34" s="140" t="s">
        <v>773</v>
      </c>
      <c r="E34" s="139" t="s">
        <v>774</v>
      </c>
    </row>
    <row r="35">
      <c r="A35" s="7" t="s">
        <v>31</v>
      </c>
      <c r="B35" s="138">
        <v>1688.0</v>
      </c>
      <c r="C35" s="142" t="s">
        <v>775</v>
      </c>
      <c r="D35" s="140" t="s">
        <v>776</v>
      </c>
      <c r="E35" s="139" t="s">
        <v>777</v>
      </c>
    </row>
    <row r="36">
      <c r="A36" s="7" t="s">
        <v>31</v>
      </c>
      <c r="B36" s="138">
        <v>1660.0</v>
      </c>
      <c r="C36" s="142" t="s">
        <v>778</v>
      </c>
      <c r="D36" s="140" t="s">
        <v>697</v>
      </c>
      <c r="E36" s="139" t="s">
        <v>779</v>
      </c>
    </row>
    <row r="37">
      <c r="A37" s="139" t="s">
        <v>35</v>
      </c>
      <c r="B37" s="141">
        <v>1711.0</v>
      </c>
      <c r="C37" s="142" t="s">
        <v>780</v>
      </c>
      <c r="D37" s="140" t="s">
        <v>730</v>
      </c>
      <c r="E37" s="139" t="s">
        <v>781</v>
      </c>
      <c r="F37" s="142"/>
    </row>
    <row r="38">
      <c r="A38" s="139" t="s">
        <v>35</v>
      </c>
      <c r="B38" s="141">
        <v>1711.0</v>
      </c>
      <c r="C38" s="142" t="s">
        <v>782</v>
      </c>
      <c r="D38" s="140" t="s">
        <v>783</v>
      </c>
      <c r="E38" s="139" t="s">
        <v>784</v>
      </c>
      <c r="F38" s="142"/>
    </row>
    <row r="39">
      <c r="A39" s="139" t="s">
        <v>35</v>
      </c>
      <c r="B39" s="141">
        <v>1711.0</v>
      </c>
      <c r="C39" s="142" t="s">
        <v>785</v>
      </c>
      <c r="D39" s="140" t="s">
        <v>786</v>
      </c>
      <c r="E39" s="139" t="s">
        <v>787</v>
      </c>
      <c r="F39" s="142"/>
    </row>
    <row r="40">
      <c r="A40" s="139" t="s">
        <v>35</v>
      </c>
      <c r="B40" s="141">
        <v>1711.0</v>
      </c>
      <c r="C40" s="142" t="s">
        <v>788</v>
      </c>
      <c r="D40" s="140" t="s">
        <v>697</v>
      </c>
      <c r="E40" s="139" t="s">
        <v>789</v>
      </c>
      <c r="F40" s="142"/>
    </row>
    <row r="41">
      <c r="A41" s="139" t="s">
        <v>35</v>
      </c>
      <c r="B41" s="141">
        <v>1711.0</v>
      </c>
      <c r="C41" s="142" t="s">
        <v>790</v>
      </c>
      <c r="D41" s="140" t="s">
        <v>791</v>
      </c>
      <c r="E41" s="139" t="s">
        <v>792</v>
      </c>
      <c r="F41" s="142"/>
    </row>
    <row r="42">
      <c r="A42" s="139" t="s">
        <v>35</v>
      </c>
      <c r="B42" s="141">
        <v>1711.0</v>
      </c>
      <c r="C42" s="142" t="s">
        <v>51</v>
      </c>
      <c r="D42" s="140" t="s">
        <v>697</v>
      </c>
      <c r="E42" s="139" t="s">
        <v>722</v>
      </c>
      <c r="F42" s="142"/>
    </row>
    <row r="43">
      <c r="A43" s="139" t="s">
        <v>35</v>
      </c>
      <c r="B43" s="141">
        <v>1711.0</v>
      </c>
      <c r="C43" s="144" t="s">
        <v>732</v>
      </c>
      <c r="D43" s="140" t="s">
        <v>697</v>
      </c>
      <c r="E43" s="139" t="s">
        <v>733</v>
      </c>
      <c r="F43" s="142"/>
    </row>
    <row r="44">
      <c r="A44" s="139" t="s">
        <v>35</v>
      </c>
      <c r="B44" s="141">
        <v>1711.0</v>
      </c>
      <c r="C44" s="142" t="s">
        <v>734</v>
      </c>
      <c r="D44" s="140" t="s">
        <v>735</v>
      </c>
      <c r="E44" s="139" t="s">
        <v>736</v>
      </c>
      <c r="F44" s="142"/>
    </row>
    <row r="45">
      <c r="A45" s="139" t="s">
        <v>35</v>
      </c>
      <c r="B45" s="141">
        <v>1711.0</v>
      </c>
      <c r="C45" s="142" t="s">
        <v>740</v>
      </c>
      <c r="D45" s="140" t="s">
        <v>697</v>
      </c>
      <c r="E45" s="139" t="s">
        <v>741</v>
      </c>
      <c r="F45" s="142"/>
    </row>
    <row r="46">
      <c r="A46" s="139" t="s">
        <v>35</v>
      </c>
      <c r="B46" s="141">
        <v>1711.0</v>
      </c>
      <c r="C46" s="142" t="s">
        <v>793</v>
      </c>
      <c r="D46" s="140" t="s">
        <v>794</v>
      </c>
      <c r="E46" s="139" t="s">
        <v>795</v>
      </c>
      <c r="F46" s="142"/>
    </row>
    <row r="47">
      <c r="A47" s="7" t="s">
        <v>37</v>
      </c>
      <c r="B47" s="141">
        <v>1711.0</v>
      </c>
      <c r="C47" s="142" t="s">
        <v>796</v>
      </c>
      <c r="D47" s="140" t="s">
        <v>697</v>
      </c>
      <c r="E47" s="139" t="s">
        <v>797</v>
      </c>
    </row>
    <row r="48">
      <c r="A48" s="7" t="s">
        <v>37</v>
      </c>
      <c r="B48" s="141">
        <v>1711.0</v>
      </c>
      <c r="C48" s="142" t="s">
        <v>796</v>
      </c>
      <c r="D48" s="140" t="s">
        <v>705</v>
      </c>
      <c r="E48" s="139" t="s">
        <v>798</v>
      </c>
    </row>
    <row r="49">
      <c r="A49" s="7" t="s">
        <v>37</v>
      </c>
      <c r="B49" s="141">
        <v>1711.0</v>
      </c>
      <c r="C49" s="142" t="s">
        <v>796</v>
      </c>
      <c r="D49" s="140" t="s">
        <v>799</v>
      </c>
      <c r="E49" s="139" t="s">
        <v>800</v>
      </c>
    </row>
    <row r="50">
      <c r="A50" s="7" t="s">
        <v>37</v>
      </c>
      <c r="B50" s="145">
        <v>1667.0</v>
      </c>
      <c r="C50" s="142" t="s">
        <v>801</v>
      </c>
      <c r="D50" s="140" t="s">
        <v>697</v>
      </c>
      <c r="E50" s="139" t="s">
        <v>802</v>
      </c>
    </row>
    <row r="51">
      <c r="A51" s="7" t="s">
        <v>37</v>
      </c>
      <c r="B51" s="141">
        <v>1711.0</v>
      </c>
      <c r="C51" s="142" t="s">
        <v>803</v>
      </c>
      <c r="D51" s="140" t="s">
        <v>697</v>
      </c>
      <c r="E51" s="139" t="s">
        <v>789</v>
      </c>
    </row>
    <row r="52">
      <c r="A52" s="7" t="s">
        <v>37</v>
      </c>
      <c r="B52" s="141">
        <v>1711.0</v>
      </c>
      <c r="C52" s="142" t="s">
        <v>804</v>
      </c>
      <c r="D52" s="140" t="s">
        <v>805</v>
      </c>
      <c r="E52" s="139" t="s">
        <v>806</v>
      </c>
    </row>
    <row r="53">
      <c r="A53" s="7" t="s">
        <v>37</v>
      </c>
      <c r="B53" s="141">
        <v>1711.0</v>
      </c>
      <c r="C53" s="142" t="s">
        <v>796</v>
      </c>
      <c r="D53" s="140" t="s">
        <v>799</v>
      </c>
      <c r="E53" s="139" t="s">
        <v>807</v>
      </c>
    </row>
    <row r="54">
      <c r="A54" s="7" t="s">
        <v>37</v>
      </c>
      <c r="B54" s="141">
        <v>1711.0</v>
      </c>
      <c r="C54" s="142" t="s">
        <v>796</v>
      </c>
      <c r="D54" s="140" t="s">
        <v>808</v>
      </c>
      <c r="E54" s="139" t="s">
        <v>809</v>
      </c>
    </row>
    <row r="55">
      <c r="A55" s="7" t="s">
        <v>39</v>
      </c>
      <c r="B55" s="145">
        <v>-580.0</v>
      </c>
      <c r="C55" s="142" t="s">
        <v>810</v>
      </c>
      <c r="D55" s="140" t="s">
        <v>811</v>
      </c>
      <c r="E55" s="139" t="s">
        <v>812</v>
      </c>
    </row>
    <row r="56">
      <c r="A56" s="7" t="s">
        <v>39</v>
      </c>
      <c r="B56" s="145">
        <v>1181.0</v>
      </c>
      <c r="C56" s="142" t="s">
        <v>813</v>
      </c>
      <c r="D56" s="140" t="s">
        <v>697</v>
      </c>
      <c r="E56" s="139" t="s">
        <v>814</v>
      </c>
    </row>
    <row r="57">
      <c r="A57" s="7" t="s">
        <v>39</v>
      </c>
      <c r="B57" s="141">
        <v>1711.0</v>
      </c>
      <c r="C57" s="142" t="s">
        <v>815</v>
      </c>
      <c r="D57" s="140" t="s">
        <v>816</v>
      </c>
      <c r="E57" s="139" t="s">
        <v>817</v>
      </c>
    </row>
    <row r="58">
      <c r="A58" s="7" t="s">
        <v>39</v>
      </c>
      <c r="B58" s="141">
        <v>1711.0</v>
      </c>
      <c r="C58" s="142" t="s">
        <v>818</v>
      </c>
      <c r="D58" s="140" t="s">
        <v>819</v>
      </c>
      <c r="E58" s="139" t="s">
        <v>820</v>
      </c>
    </row>
    <row r="59">
      <c r="A59" s="7" t="s">
        <v>39</v>
      </c>
      <c r="B59" s="141">
        <v>1711.0</v>
      </c>
      <c r="C59" s="142" t="s">
        <v>821</v>
      </c>
      <c r="D59" s="140" t="s">
        <v>822</v>
      </c>
      <c r="E59" s="139" t="s">
        <v>823</v>
      </c>
    </row>
    <row r="60">
      <c r="A60" s="7" t="s">
        <v>39</v>
      </c>
      <c r="B60" s="141">
        <v>1711.0</v>
      </c>
      <c r="C60" s="142" t="s">
        <v>824</v>
      </c>
      <c r="D60" s="140" t="s">
        <v>697</v>
      </c>
      <c r="E60" s="139" t="s">
        <v>825</v>
      </c>
    </row>
    <row r="61">
      <c r="A61" s="7" t="s">
        <v>39</v>
      </c>
      <c r="B61" s="141">
        <v>1711.0</v>
      </c>
      <c r="C61" s="142" t="s">
        <v>826</v>
      </c>
      <c r="D61" s="140" t="s">
        <v>827</v>
      </c>
      <c r="E61" s="139" t="s">
        <v>828</v>
      </c>
    </row>
    <row r="62">
      <c r="A62" s="7" t="s">
        <v>39</v>
      </c>
      <c r="B62" s="141">
        <v>1711.0</v>
      </c>
      <c r="C62" s="142" t="s">
        <v>693</v>
      </c>
      <c r="D62" s="140" t="s">
        <v>829</v>
      </c>
      <c r="E62" s="139" t="s">
        <v>830</v>
      </c>
    </row>
    <row r="63">
      <c r="A63" s="7" t="s">
        <v>41</v>
      </c>
      <c r="B63" s="146" t="s">
        <v>831</v>
      </c>
      <c r="C63" s="142" t="s">
        <v>832</v>
      </c>
      <c r="D63" s="140" t="s">
        <v>833</v>
      </c>
      <c r="E63" s="139" t="s">
        <v>834</v>
      </c>
    </row>
    <row r="64">
      <c r="A64" s="7" t="s">
        <v>41</v>
      </c>
      <c r="B64" s="141">
        <v>1711.0</v>
      </c>
      <c r="C64" s="142" t="s">
        <v>835</v>
      </c>
      <c r="D64" s="140" t="s">
        <v>836</v>
      </c>
      <c r="E64" s="139" t="s">
        <v>837</v>
      </c>
    </row>
    <row r="65">
      <c r="A65" s="7" t="s">
        <v>41</v>
      </c>
      <c r="B65" s="141">
        <v>1711.0</v>
      </c>
      <c r="C65" s="142" t="s">
        <v>707</v>
      </c>
      <c r="D65" s="140" t="s">
        <v>838</v>
      </c>
      <c r="E65" s="139" t="s">
        <v>839</v>
      </c>
    </row>
    <row r="66">
      <c r="A66" s="7" t="s">
        <v>41</v>
      </c>
      <c r="B66" s="141">
        <v>1711.0</v>
      </c>
      <c r="C66" s="142" t="s">
        <v>840</v>
      </c>
      <c r="D66" s="140" t="s">
        <v>841</v>
      </c>
      <c r="E66" s="139" t="s">
        <v>842</v>
      </c>
    </row>
    <row r="67">
      <c r="A67" s="7" t="s">
        <v>43</v>
      </c>
      <c r="B67" s="141">
        <v>1711.0</v>
      </c>
      <c r="C67" s="142" t="s">
        <v>843</v>
      </c>
      <c r="D67" s="140" t="s">
        <v>844</v>
      </c>
      <c r="E67" s="139" t="s">
        <v>845</v>
      </c>
    </row>
    <row r="68">
      <c r="A68" s="7" t="s">
        <v>43</v>
      </c>
      <c r="B68" s="141">
        <v>1711.0</v>
      </c>
      <c r="C68" s="142" t="s">
        <v>846</v>
      </c>
      <c r="D68" s="140" t="s">
        <v>847</v>
      </c>
      <c r="E68" s="139" t="s">
        <v>848</v>
      </c>
    </row>
    <row r="69">
      <c r="A69" s="7" t="s">
        <v>43</v>
      </c>
      <c r="B69" s="141">
        <v>1711.0</v>
      </c>
      <c r="C69" s="142" t="s">
        <v>849</v>
      </c>
      <c r="D69" s="140" t="s">
        <v>697</v>
      </c>
      <c r="E69" s="139" t="s">
        <v>850</v>
      </c>
    </row>
    <row r="70">
      <c r="A70" s="7" t="s">
        <v>43</v>
      </c>
      <c r="B70" s="141">
        <v>1711.0</v>
      </c>
      <c r="C70" s="142" t="s">
        <v>851</v>
      </c>
      <c r="D70" s="140" t="s">
        <v>697</v>
      </c>
      <c r="E70" s="139" t="s">
        <v>852</v>
      </c>
    </row>
    <row r="71">
      <c r="A71" s="7" t="s">
        <v>43</v>
      </c>
      <c r="B71" s="141">
        <v>1711.0</v>
      </c>
      <c r="C71" s="142" t="s">
        <v>853</v>
      </c>
      <c r="D71" s="140" t="s">
        <v>697</v>
      </c>
      <c r="E71" s="139" t="s">
        <v>854</v>
      </c>
    </row>
    <row r="72">
      <c r="A72" s="7" t="s">
        <v>43</v>
      </c>
      <c r="B72" s="141">
        <v>1711.0</v>
      </c>
      <c r="C72" s="142" t="s">
        <v>721</v>
      </c>
      <c r="D72" s="140" t="s">
        <v>697</v>
      </c>
      <c r="E72" s="139" t="s">
        <v>855</v>
      </c>
    </row>
    <row r="73">
      <c r="A73" s="7" t="s">
        <v>43</v>
      </c>
      <c r="B73" s="141">
        <v>1711.0</v>
      </c>
      <c r="C73" s="142" t="s">
        <v>856</v>
      </c>
      <c r="D73" s="140" t="s">
        <v>697</v>
      </c>
      <c r="E73" s="139" t="s">
        <v>857</v>
      </c>
    </row>
    <row r="74">
      <c r="A74" s="7" t="s">
        <v>43</v>
      </c>
      <c r="B74" s="141">
        <v>1711.0</v>
      </c>
      <c r="C74" s="142" t="s">
        <v>858</v>
      </c>
      <c r="D74" s="140" t="s">
        <v>859</v>
      </c>
      <c r="E74" s="139" t="s">
        <v>860</v>
      </c>
    </row>
    <row r="75">
      <c r="A75" s="7" t="s">
        <v>43</v>
      </c>
      <c r="B75" s="141">
        <v>1711.0</v>
      </c>
      <c r="C75" s="142" t="s">
        <v>861</v>
      </c>
      <c r="D75" s="140" t="s">
        <v>697</v>
      </c>
      <c r="E75" s="139" t="s">
        <v>862</v>
      </c>
    </row>
    <row r="76">
      <c r="A76" s="7" t="s">
        <v>43</v>
      </c>
      <c r="B76" s="141">
        <v>1711.0</v>
      </c>
      <c r="C76" s="142" t="s">
        <v>863</v>
      </c>
      <c r="D76" s="140" t="s">
        <v>864</v>
      </c>
      <c r="E76" s="139" t="s">
        <v>865</v>
      </c>
    </row>
    <row r="77">
      <c r="A77" s="7" t="s">
        <v>43</v>
      </c>
      <c r="B77" s="141">
        <v>1711.0</v>
      </c>
      <c r="C77" s="142" t="s">
        <v>866</v>
      </c>
      <c r="D77" s="140" t="s">
        <v>867</v>
      </c>
      <c r="E77" s="139" t="s">
        <v>868</v>
      </c>
    </row>
    <row r="78">
      <c r="A78" s="7" t="s">
        <v>43</v>
      </c>
      <c r="B78" s="141">
        <v>1711.0</v>
      </c>
      <c r="C78" s="142" t="s">
        <v>869</v>
      </c>
      <c r="D78" s="140" t="s">
        <v>870</v>
      </c>
      <c r="E78" s="139" t="s">
        <v>871</v>
      </c>
    </row>
    <row r="79">
      <c r="A79" s="7" t="s">
        <v>43</v>
      </c>
      <c r="B79" s="141">
        <v>1711.0</v>
      </c>
      <c r="C79" s="142" t="s">
        <v>872</v>
      </c>
      <c r="D79" s="140" t="s">
        <v>873</v>
      </c>
      <c r="E79" s="139" t="s">
        <v>874</v>
      </c>
    </row>
    <row r="80">
      <c r="A80" s="7" t="s">
        <v>43</v>
      </c>
      <c r="B80" s="141">
        <v>1711.0</v>
      </c>
      <c r="C80" s="142" t="s">
        <v>875</v>
      </c>
      <c r="D80" s="140" t="s">
        <v>876</v>
      </c>
      <c r="E80" s="139" t="s">
        <v>877</v>
      </c>
    </row>
    <row r="81">
      <c r="A81" s="7" t="s">
        <v>43</v>
      </c>
      <c r="B81" s="141">
        <v>1711.0</v>
      </c>
      <c r="C81" s="142" t="s">
        <v>878</v>
      </c>
      <c r="D81" s="140" t="s">
        <v>879</v>
      </c>
      <c r="E81" s="139" t="s">
        <v>880</v>
      </c>
    </row>
    <row r="82">
      <c r="A82" s="7" t="s">
        <v>43</v>
      </c>
      <c r="B82" s="141">
        <v>1711.0</v>
      </c>
      <c r="C82" s="142" t="s">
        <v>881</v>
      </c>
      <c r="D82" s="140" t="s">
        <v>882</v>
      </c>
      <c r="E82" s="139" t="s">
        <v>883</v>
      </c>
    </row>
    <row r="83">
      <c r="A83" s="7" t="s">
        <v>43</v>
      </c>
      <c r="B83" s="141">
        <v>1711.0</v>
      </c>
      <c r="C83" s="142" t="s">
        <v>884</v>
      </c>
      <c r="D83" s="140" t="s">
        <v>885</v>
      </c>
      <c r="E83" s="139" t="s">
        <v>886</v>
      </c>
    </row>
    <row r="84">
      <c r="A84" s="7" t="s">
        <v>46</v>
      </c>
      <c r="B84" s="141">
        <v>1711.0</v>
      </c>
      <c r="C84" s="142" t="s">
        <v>46</v>
      </c>
      <c r="D84" s="140" t="s">
        <v>887</v>
      </c>
      <c r="E84" s="139" t="s">
        <v>888</v>
      </c>
    </row>
    <row r="85">
      <c r="A85" s="7" t="s">
        <v>46</v>
      </c>
      <c r="B85" s="141">
        <v>1711.0</v>
      </c>
      <c r="C85" s="142" t="s">
        <v>889</v>
      </c>
      <c r="D85" s="140" t="s">
        <v>890</v>
      </c>
      <c r="E85" s="139" t="s">
        <v>891</v>
      </c>
    </row>
    <row r="86">
      <c r="A86" s="7" t="s">
        <v>46</v>
      </c>
      <c r="B86" s="141">
        <v>1711.0</v>
      </c>
      <c r="C86" s="142" t="s">
        <v>892</v>
      </c>
      <c r="D86" s="140" t="s">
        <v>893</v>
      </c>
      <c r="E86" s="139" t="s">
        <v>894</v>
      </c>
    </row>
    <row r="87">
      <c r="A87" s="7" t="s">
        <v>46</v>
      </c>
      <c r="B87" s="141">
        <v>1711.0</v>
      </c>
      <c r="C87" s="142" t="s">
        <v>895</v>
      </c>
      <c r="D87" s="140" t="s">
        <v>697</v>
      </c>
      <c r="E87" s="139" t="s">
        <v>896</v>
      </c>
    </row>
    <row r="88">
      <c r="A88" s="7" t="s">
        <v>48</v>
      </c>
      <c r="B88" s="145">
        <v>1711.0</v>
      </c>
      <c r="C88" s="142" t="s">
        <v>897</v>
      </c>
      <c r="D88" s="140" t="s">
        <v>697</v>
      </c>
      <c r="E88" s="139" t="s">
        <v>898</v>
      </c>
    </row>
    <row r="89">
      <c r="A89" s="7" t="s">
        <v>51</v>
      </c>
      <c r="B89" s="145">
        <v>1711.0</v>
      </c>
      <c r="C89" s="142" t="s">
        <v>899</v>
      </c>
      <c r="D89" s="140" t="s">
        <v>697</v>
      </c>
      <c r="E89" s="139" t="s">
        <v>900</v>
      </c>
    </row>
    <row r="90">
      <c r="A90" s="7" t="s">
        <v>51</v>
      </c>
      <c r="B90" s="145">
        <v>1711.0</v>
      </c>
      <c r="C90" s="142" t="s">
        <v>901</v>
      </c>
      <c r="D90" s="140" t="s">
        <v>697</v>
      </c>
      <c r="E90" s="139" t="s">
        <v>902</v>
      </c>
    </row>
    <row r="91">
      <c r="A91" s="7" t="s">
        <v>51</v>
      </c>
      <c r="B91" s="145">
        <v>1711.0</v>
      </c>
      <c r="C91" s="142" t="s">
        <v>903</v>
      </c>
      <c r="D91" s="140" t="s">
        <v>697</v>
      </c>
      <c r="E91" s="139" t="s">
        <v>904</v>
      </c>
    </row>
    <row r="92">
      <c r="A92" s="7" t="s">
        <v>51</v>
      </c>
      <c r="B92" s="145">
        <v>1711.0</v>
      </c>
      <c r="C92" s="142" t="s">
        <v>905</v>
      </c>
      <c r="D92" s="140" t="s">
        <v>697</v>
      </c>
      <c r="E92" s="139" t="s">
        <v>906</v>
      </c>
    </row>
    <row r="93">
      <c r="A93" s="7" t="s">
        <v>51</v>
      </c>
      <c r="B93" s="145">
        <v>1711.0</v>
      </c>
      <c r="C93" s="142" t="s">
        <v>907</v>
      </c>
      <c r="D93" s="140" t="s">
        <v>697</v>
      </c>
      <c r="E93" s="139" t="s">
        <v>908</v>
      </c>
    </row>
    <row r="94">
      <c r="A94" s="7" t="s">
        <v>51</v>
      </c>
      <c r="B94" s="145">
        <v>1711.0</v>
      </c>
      <c r="C94" s="142" t="s">
        <v>909</v>
      </c>
      <c r="D94" s="140" t="s">
        <v>697</v>
      </c>
      <c r="E94" s="139" t="s">
        <v>910</v>
      </c>
    </row>
    <row r="95">
      <c r="A95" s="7" t="s">
        <v>51</v>
      </c>
      <c r="B95" s="145">
        <v>1711.0</v>
      </c>
      <c r="C95" s="142" t="s">
        <v>911</v>
      </c>
      <c r="D95" s="140" t="s">
        <v>697</v>
      </c>
      <c r="E95" s="139" t="s">
        <v>912</v>
      </c>
    </row>
    <row r="96">
      <c r="A96" s="7" t="s">
        <v>51</v>
      </c>
      <c r="B96" s="145">
        <v>1711.0</v>
      </c>
      <c r="C96" s="142" t="s">
        <v>913</v>
      </c>
      <c r="D96" s="140" t="s">
        <v>697</v>
      </c>
      <c r="E96" s="139" t="s">
        <v>914</v>
      </c>
    </row>
    <row r="97">
      <c r="A97" s="7" t="s">
        <v>51</v>
      </c>
      <c r="B97" s="145">
        <v>1711.0</v>
      </c>
      <c r="C97" s="142" t="s">
        <v>915</v>
      </c>
      <c r="D97" s="140" t="s">
        <v>697</v>
      </c>
      <c r="E97" s="139" t="s">
        <v>916</v>
      </c>
    </row>
    <row r="98">
      <c r="A98" s="7" t="s">
        <v>51</v>
      </c>
      <c r="B98" s="145">
        <v>1711.0</v>
      </c>
      <c r="C98" s="142" t="s">
        <v>917</v>
      </c>
      <c r="D98" s="140" t="s">
        <v>697</v>
      </c>
      <c r="E98" s="139" t="s">
        <v>918</v>
      </c>
    </row>
    <row r="99">
      <c r="A99" s="7" t="s">
        <v>53</v>
      </c>
      <c r="B99" s="145">
        <v>1711.0</v>
      </c>
      <c r="C99" s="142" t="s">
        <v>919</v>
      </c>
      <c r="D99" s="140" t="s">
        <v>697</v>
      </c>
      <c r="E99" s="139" t="s">
        <v>920</v>
      </c>
    </row>
    <row r="100">
      <c r="A100" s="7" t="s">
        <v>53</v>
      </c>
      <c r="B100" s="145">
        <v>1711.0</v>
      </c>
      <c r="C100" s="142" t="s">
        <v>921</v>
      </c>
      <c r="D100" s="140" t="s">
        <v>705</v>
      </c>
      <c r="E100" s="139" t="s">
        <v>922</v>
      </c>
    </row>
    <row r="101">
      <c r="A101" s="7" t="s">
        <v>55</v>
      </c>
      <c r="B101" s="145">
        <v>1711.0</v>
      </c>
      <c r="C101" s="142" t="s">
        <v>923</v>
      </c>
      <c r="D101" s="140" t="s">
        <v>697</v>
      </c>
      <c r="E101" s="139" t="s">
        <v>924</v>
      </c>
    </row>
    <row r="102">
      <c r="A102" s="7" t="s">
        <v>58</v>
      </c>
      <c r="B102" s="145">
        <v>1711.0</v>
      </c>
      <c r="C102" s="142" t="s">
        <v>925</v>
      </c>
      <c r="D102" s="140" t="s">
        <v>926</v>
      </c>
      <c r="E102" s="139" t="s">
        <v>927</v>
      </c>
    </row>
    <row r="103">
      <c r="A103" s="7" t="s">
        <v>58</v>
      </c>
      <c r="B103" s="145">
        <v>1711.0</v>
      </c>
      <c r="C103" s="142" t="s">
        <v>928</v>
      </c>
      <c r="D103" s="140" t="s">
        <v>713</v>
      </c>
      <c r="E103" s="139" t="s">
        <v>929</v>
      </c>
    </row>
    <row r="104">
      <c r="A104" s="7" t="s">
        <v>58</v>
      </c>
      <c r="B104" s="145">
        <v>1700.0</v>
      </c>
      <c r="C104" s="142" t="s">
        <v>930</v>
      </c>
      <c r="D104" s="140" t="s">
        <v>697</v>
      </c>
      <c r="E104" s="139" t="s">
        <v>931</v>
      </c>
    </row>
    <row r="105">
      <c r="A105" s="7" t="s">
        <v>58</v>
      </c>
      <c r="B105" s="145">
        <v>1711.0</v>
      </c>
      <c r="C105" s="142" t="s">
        <v>932</v>
      </c>
      <c r="D105" s="140" t="s">
        <v>933</v>
      </c>
      <c r="E105" s="139" t="s">
        <v>934</v>
      </c>
    </row>
    <row r="106">
      <c r="A106" s="7" t="s">
        <v>58</v>
      </c>
      <c r="B106" s="145">
        <v>1711.0</v>
      </c>
      <c r="C106" s="142" t="s">
        <v>935</v>
      </c>
      <c r="D106" s="140" t="s">
        <v>697</v>
      </c>
      <c r="E106" s="139" t="s">
        <v>936</v>
      </c>
    </row>
    <row r="107">
      <c r="A107" s="7" t="s">
        <v>58</v>
      </c>
      <c r="B107" s="145">
        <v>1711.0</v>
      </c>
      <c r="C107" s="142" t="s">
        <v>937</v>
      </c>
      <c r="D107" s="140" t="s">
        <v>938</v>
      </c>
      <c r="E107" s="139" t="s">
        <v>939</v>
      </c>
    </row>
    <row r="108">
      <c r="A108" s="7" t="s">
        <v>62</v>
      </c>
      <c r="B108" s="145">
        <v>1711.0</v>
      </c>
      <c r="C108" s="142" t="s">
        <v>940</v>
      </c>
      <c r="D108" s="140" t="s">
        <v>697</v>
      </c>
      <c r="E108" s="139" t="s">
        <v>941</v>
      </c>
    </row>
    <row r="109">
      <c r="A109" s="7" t="s">
        <v>62</v>
      </c>
      <c r="B109" s="145">
        <v>1711.0</v>
      </c>
      <c r="C109" s="142" t="s">
        <v>942</v>
      </c>
      <c r="D109" s="140" t="s">
        <v>943</v>
      </c>
      <c r="E109" s="139" t="s">
        <v>944</v>
      </c>
    </row>
    <row r="110">
      <c r="A110" s="7" t="s">
        <v>64</v>
      </c>
      <c r="B110" s="145">
        <v>1711.0</v>
      </c>
      <c r="C110" s="142" t="s">
        <v>945</v>
      </c>
      <c r="D110" s="140" t="s">
        <v>946</v>
      </c>
      <c r="E110" s="139" t="s">
        <v>947</v>
      </c>
    </row>
    <row r="111">
      <c r="A111" s="7" t="s">
        <v>64</v>
      </c>
      <c r="B111" s="145">
        <v>1111.0</v>
      </c>
      <c r="C111" s="142" t="s">
        <v>948</v>
      </c>
      <c r="D111" s="140" t="s">
        <v>838</v>
      </c>
      <c r="E111" s="139" t="s">
        <v>949</v>
      </c>
    </row>
    <row r="112">
      <c r="A112" s="7" t="s">
        <v>64</v>
      </c>
      <c r="B112" s="145">
        <v>1111.0</v>
      </c>
      <c r="C112" s="142" t="s">
        <v>950</v>
      </c>
      <c r="D112" s="140" t="s">
        <v>697</v>
      </c>
      <c r="E112" s="139" t="s">
        <v>951</v>
      </c>
    </row>
    <row r="113">
      <c r="A113" s="7" t="s">
        <v>64</v>
      </c>
      <c r="B113" s="145">
        <v>1111.0</v>
      </c>
      <c r="C113" s="142" t="s">
        <v>952</v>
      </c>
      <c r="D113" s="140" t="s">
        <v>697</v>
      </c>
      <c r="E113" s="139" t="s">
        <v>953</v>
      </c>
    </row>
    <row r="114">
      <c r="A114" s="7" t="s">
        <v>64</v>
      </c>
      <c r="B114" s="145">
        <v>1111.0</v>
      </c>
      <c r="C114" s="142" t="s">
        <v>954</v>
      </c>
      <c r="D114" s="140" t="s">
        <v>697</v>
      </c>
      <c r="E114" s="139" t="s">
        <v>955</v>
      </c>
    </row>
    <row r="115">
      <c r="A115" s="7" t="s">
        <v>64</v>
      </c>
      <c r="B115" s="145">
        <v>1111.0</v>
      </c>
      <c r="C115" s="142" t="s">
        <v>956</v>
      </c>
      <c r="D115" s="140" t="s">
        <v>697</v>
      </c>
      <c r="E115" s="139" t="s">
        <v>957</v>
      </c>
    </row>
    <row r="116">
      <c r="A116" s="7" t="s">
        <v>64</v>
      </c>
      <c r="B116" s="145">
        <v>1111.0</v>
      </c>
      <c r="C116" s="142" t="s">
        <v>958</v>
      </c>
      <c r="D116" s="140" t="s">
        <v>959</v>
      </c>
      <c r="E116" s="139" t="s">
        <v>960</v>
      </c>
    </row>
    <row r="117">
      <c r="A117" s="7" t="s">
        <v>64</v>
      </c>
      <c r="B117" s="145">
        <v>1111.0</v>
      </c>
      <c r="C117" s="142" t="s">
        <v>961</v>
      </c>
      <c r="D117" s="140" t="s">
        <v>697</v>
      </c>
      <c r="E117" s="139" t="s">
        <v>962</v>
      </c>
    </row>
    <row r="118">
      <c r="A118" s="7" t="s">
        <v>64</v>
      </c>
      <c r="B118" s="145">
        <v>1111.0</v>
      </c>
      <c r="C118" s="142" t="s">
        <v>963</v>
      </c>
      <c r="D118" s="140" t="s">
        <v>959</v>
      </c>
      <c r="E118" s="139" t="s">
        <v>964</v>
      </c>
    </row>
    <row r="119">
      <c r="A119" s="7" t="s">
        <v>66</v>
      </c>
      <c r="B119" s="145">
        <v>1111.0</v>
      </c>
      <c r="C119" s="142" t="s">
        <v>965</v>
      </c>
      <c r="D119" s="140" t="s">
        <v>966</v>
      </c>
      <c r="E119" s="139" t="s">
        <v>967</v>
      </c>
    </row>
    <row r="120">
      <c r="A120" s="7" t="s">
        <v>66</v>
      </c>
      <c r="B120" s="145">
        <v>1111.0</v>
      </c>
      <c r="C120" s="142" t="s">
        <v>968</v>
      </c>
      <c r="D120" s="140" t="s">
        <v>969</v>
      </c>
      <c r="E120" s="139" t="s">
        <v>970</v>
      </c>
    </row>
    <row r="121">
      <c r="A121" s="7" t="s">
        <v>66</v>
      </c>
      <c r="B121" s="145">
        <v>1111.0</v>
      </c>
      <c r="C121" s="142" t="s">
        <v>971</v>
      </c>
      <c r="D121" s="140" t="s">
        <v>972</v>
      </c>
      <c r="E121" s="139" t="s">
        <v>973</v>
      </c>
    </row>
    <row r="122">
      <c r="A122" s="7" t="s">
        <v>66</v>
      </c>
      <c r="B122" s="145">
        <v>1111.0</v>
      </c>
      <c r="C122" s="142" t="s">
        <v>974</v>
      </c>
      <c r="D122" s="140" t="s">
        <v>975</v>
      </c>
      <c r="E122" s="139" t="s">
        <v>976</v>
      </c>
    </row>
    <row r="123">
      <c r="A123" s="7" t="s">
        <v>66</v>
      </c>
      <c r="B123" s="145">
        <v>1111.0</v>
      </c>
      <c r="C123" s="142" t="s">
        <v>977</v>
      </c>
      <c r="D123" s="140" t="s">
        <v>978</v>
      </c>
      <c r="E123" s="139" t="s">
        <v>979</v>
      </c>
    </row>
    <row r="124">
      <c r="A124" s="7" t="s">
        <v>66</v>
      </c>
      <c r="B124" s="145">
        <v>1111.0</v>
      </c>
      <c r="C124" s="142" t="s">
        <v>980</v>
      </c>
      <c r="D124" s="140" t="s">
        <v>981</v>
      </c>
      <c r="E124" s="139" t="s">
        <v>982</v>
      </c>
    </row>
    <row r="125">
      <c r="A125" s="7" t="s">
        <v>66</v>
      </c>
      <c r="B125" s="145">
        <v>1111.0</v>
      </c>
      <c r="C125" s="142" t="s">
        <v>983</v>
      </c>
      <c r="D125" s="140" t="s">
        <v>984</v>
      </c>
      <c r="E125" s="139" t="s">
        <v>985</v>
      </c>
    </row>
    <row r="126">
      <c r="A126" s="7" t="s">
        <v>66</v>
      </c>
      <c r="B126" s="145">
        <v>1111.0</v>
      </c>
      <c r="C126" s="142" t="s">
        <v>986</v>
      </c>
      <c r="D126" s="140" t="s">
        <v>978</v>
      </c>
      <c r="E126" s="139" t="s">
        <v>987</v>
      </c>
    </row>
    <row r="127">
      <c r="A127" s="7" t="s">
        <v>68</v>
      </c>
      <c r="B127" s="145">
        <v>1111.0</v>
      </c>
      <c r="C127" s="142" t="s">
        <v>988</v>
      </c>
      <c r="D127" s="140" t="s">
        <v>697</v>
      </c>
      <c r="E127" s="139" t="s">
        <v>989</v>
      </c>
    </row>
    <row r="128">
      <c r="A128" s="7" t="s">
        <v>68</v>
      </c>
      <c r="B128" s="145">
        <v>1111.0</v>
      </c>
      <c r="C128" s="142" t="s">
        <v>990</v>
      </c>
      <c r="D128" s="140" t="s">
        <v>991</v>
      </c>
      <c r="E128" s="139" t="s">
        <v>992</v>
      </c>
    </row>
    <row r="129">
      <c r="A129" s="7" t="s">
        <v>68</v>
      </c>
      <c r="B129" s="145">
        <v>1111.0</v>
      </c>
      <c r="C129" s="142" t="s">
        <v>993</v>
      </c>
      <c r="D129" s="140" t="s">
        <v>697</v>
      </c>
      <c r="E129" s="139" t="s">
        <v>994</v>
      </c>
    </row>
    <row r="130">
      <c r="A130" s="7" t="s">
        <v>68</v>
      </c>
      <c r="B130" s="145">
        <v>1111.0</v>
      </c>
      <c r="C130" s="142" t="s">
        <v>995</v>
      </c>
      <c r="D130" s="140" t="s">
        <v>996</v>
      </c>
      <c r="E130" s="139" t="s">
        <v>997</v>
      </c>
    </row>
    <row r="131">
      <c r="A131" s="7" t="s">
        <v>70</v>
      </c>
      <c r="B131" s="7">
        <v>1111.0</v>
      </c>
      <c r="C131" s="142" t="s">
        <v>998</v>
      </c>
      <c r="D131" s="140" t="s">
        <v>999</v>
      </c>
      <c r="E131" s="139" t="s">
        <v>1000</v>
      </c>
    </row>
    <row r="132">
      <c r="A132" s="7" t="s">
        <v>74</v>
      </c>
      <c r="B132" s="145">
        <v>1711.0</v>
      </c>
      <c r="C132" s="142" t="s">
        <v>1001</v>
      </c>
      <c r="D132" s="140" t="s">
        <v>697</v>
      </c>
      <c r="E132" s="139" t="s">
        <v>1002</v>
      </c>
    </row>
    <row r="133">
      <c r="A133" s="7" t="s">
        <v>74</v>
      </c>
      <c r="B133" s="145">
        <v>1711.0</v>
      </c>
      <c r="C133" s="142" t="s">
        <v>1003</v>
      </c>
      <c r="D133" s="140" t="s">
        <v>697</v>
      </c>
      <c r="E133" s="139" t="s">
        <v>1004</v>
      </c>
    </row>
    <row r="134">
      <c r="A134" s="7" t="s">
        <v>77</v>
      </c>
      <c r="B134" s="145">
        <v>1711.0</v>
      </c>
      <c r="C134" s="142" t="s">
        <v>1005</v>
      </c>
      <c r="D134" s="140" t="s">
        <v>1006</v>
      </c>
      <c r="E134" s="139" t="s">
        <v>1007</v>
      </c>
    </row>
    <row r="135">
      <c r="A135" s="7" t="s">
        <v>77</v>
      </c>
      <c r="B135" s="145">
        <v>1711.0</v>
      </c>
      <c r="C135" s="142" t="s">
        <v>1008</v>
      </c>
      <c r="D135" s="140" t="s">
        <v>1009</v>
      </c>
      <c r="E135" s="139" t="s">
        <v>1010</v>
      </c>
    </row>
    <row r="136">
      <c r="A136" s="7" t="s">
        <v>77</v>
      </c>
      <c r="B136" s="145">
        <v>1711.0</v>
      </c>
      <c r="C136" s="142" t="s">
        <v>407</v>
      </c>
      <c r="D136" s="140" t="s">
        <v>697</v>
      </c>
      <c r="E136" s="139" t="s">
        <v>1011</v>
      </c>
    </row>
    <row r="137">
      <c r="A137" s="7" t="s">
        <v>77</v>
      </c>
      <c r="B137" s="145">
        <v>1711.0</v>
      </c>
      <c r="C137" s="142" t="s">
        <v>704</v>
      </c>
      <c r="D137" s="140" t="s">
        <v>724</v>
      </c>
      <c r="E137" s="139" t="s">
        <v>1012</v>
      </c>
    </row>
    <row r="138">
      <c r="A138" s="7" t="s">
        <v>79</v>
      </c>
      <c r="B138" s="145">
        <v>1711.0</v>
      </c>
      <c r="C138" s="142" t="s">
        <v>1013</v>
      </c>
      <c r="D138" s="140" t="s">
        <v>697</v>
      </c>
      <c r="E138" s="147" t="s">
        <v>1014</v>
      </c>
    </row>
    <row r="139">
      <c r="A139" s="7" t="s">
        <v>79</v>
      </c>
      <c r="B139" s="145">
        <v>1711.0</v>
      </c>
      <c r="C139" s="142" t="s">
        <v>1015</v>
      </c>
      <c r="D139" s="140" t="s">
        <v>697</v>
      </c>
      <c r="E139" s="139" t="s">
        <v>1016</v>
      </c>
    </row>
    <row r="140">
      <c r="A140" s="7" t="s">
        <v>79</v>
      </c>
      <c r="B140" s="145">
        <v>1711.0</v>
      </c>
      <c r="C140" s="142" t="s">
        <v>1017</v>
      </c>
      <c r="D140" s="140" t="s">
        <v>1018</v>
      </c>
      <c r="E140" s="139" t="s">
        <v>1019</v>
      </c>
    </row>
    <row r="141">
      <c r="A141" s="7" t="s">
        <v>81</v>
      </c>
      <c r="B141" s="145">
        <v>1711.0</v>
      </c>
      <c r="C141" s="142" t="s">
        <v>1020</v>
      </c>
      <c r="D141" s="140" t="s">
        <v>1021</v>
      </c>
      <c r="E141" s="139" t="s">
        <v>1022</v>
      </c>
    </row>
    <row r="142">
      <c r="A142" s="7" t="s">
        <v>83</v>
      </c>
      <c r="B142" s="148" t="s">
        <v>1023</v>
      </c>
      <c r="C142" s="142" t="s">
        <v>704</v>
      </c>
      <c r="D142" s="140" t="s">
        <v>978</v>
      </c>
      <c r="E142" s="139" t="s">
        <v>1024</v>
      </c>
    </row>
    <row r="143">
      <c r="A143" s="7" t="s">
        <v>83</v>
      </c>
      <c r="B143" s="145">
        <v>1711.0</v>
      </c>
      <c r="C143" s="142" t="s">
        <v>704</v>
      </c>
      <c r="D143" s="140" t="s">
        <v>1025</v>
      </c>
      <c r="E143" s="139" t="s">
        <v>1026</v>
      </c>
    </row>
    <row r="144">
      <c r="A144" s="7" t="s">
        <v>83</v>
      </c>
      <c r="B144" s="145">
        <v>1711.0</v>
      </c>
      <c r="C144" s="142" t="s">
        <v>1027</v>
      </c>
      <c r="D144" s="140" t="s">
        <v>1028</v>
      </c>
      <c r="E144" s="139" t="s">
        <v>1029</v>
      </c>
    </row>
    <row r="145">
      <c r="A145" s="7" t="s">
        <v>83</v>
      </c>
      <c r="B145" s="145">
        <v>1711.0</v>
      </c>
      <c r="C145" s="142" t="s">
        <v>1030</v>
      </c>
      <c r="D145" s="140" t="s">
        <v>1031</v>
      </c>
      <c r="E145" s="139" t="s">
        <v>1032</v>
      </c>
    </row>
    <row r="146">
      <c r="A146" s="7" t="s">
        <v>83</v>
      </c>
      <c r="B146" s="145">
        <v>1711.0</v>
      </c>
      <c r="C146" s="142" t="s">
        <v>1033</v>
      </c>
      <c r="D146" s="140" t="s">
        <v>978</v>
      </c>
      <c r="E146" s="139" t="s">
        <v>1034</v>
      </c>
    </row>
    <row r="147">
      <c r="A147" s="7" t="s">
        <v>83</v>
      </c>
      <c r="B147" s="145">
        <v>1711.0</v>
      </c>
      <c r="C147" s="142" t="s">
        <v>1035</v>
      </c>
      <c r="D147" s="140" t="s">
        <v>1036</v>
      </c>
      <c r="E147" s="139" t="s">
        <v>1037</v>
      </c>
    </row>
    <row r="148">
      <c r="A148" s="7" t="s">
        <v>86</v>
      </c>
      <c r="B148" s="145">
        <v>1711.0</v>
      </c>
      <c r="C148" s="142" t="s">
        <v>1038</v>
      </c>
      <c r="D148" s="140" t="s">
        <v>1039</v>
      </c>
      <c r="E148" s="139" t="s">
        <v>1040</v>
      </c>
    </row>
    <row r="149">
      <c r="A149" s="7" t="s">
        <v>86</v>
      </c>
      <c r="B149" s="145">
        <v>1711.0</v>
      </c>
      <c r="C149" s="142" t="s">
        <v>1041</v>
      </c>
      <c r="D149" s="140" t="s">
        <v>697</v>
      </c>
      <c r="E149" s="139" t="s">
        <v>1042</v>
      </c>
    </row>
    <row r="150">
      <c r="A150" s="7" t="s">
        <v>86</v>
      </c>
      <c r="B150" s="145">
        <v>1711.0</v>
      </c>
      <c r="C150" s="142" t="s">
        <v>1043</v>
      </c>
      <c r="D150" s="140" t="s">
        <v>697</v>
      </c>
      <c r="E150" s="139" t="s">
        <v>1044</v>
      </c>
    </row>
    <row r="151">
      <c r="A151" s="7" t="s">
        <v>88</v>
      </c>
      <c r="B151" s="145">
        <v>1711.0</v>
      </c>
      <c r="C151" s="142" t="s">
        <v>1045</v>
      </c>
      <c r="D151" s="140" t="s">
        <v>1046</v>
      </c>
      <c r="E151" s="139" t="s">
        <v>1047</v>
      </c>
    </row>
    <row r="152">
      <c r="A152" s="7" t="s">
        <v>88</v>
      </c>
      <c r="B152" s="145">
        <v>1711.0</v>
      </c>
      <c r="C152" s="142" t="s">
        <v>1048</v>
      </c>
      <c r="D152" s="140" t="s">
        <v>697</v>
      </c>
      <c r="E152" s="139" t="s">
        <v>1049</v>
      </c>
    </row>
    <row r="153">
      <c r="A153" s="7" t="s">
        <v>92</v>
      </c>
      <c r="B153" s="145">
        <v>1711.0</v>
      </c>
      <c r="C153" s="142" t="s">
        <v>1050</v>
      </c>
      <c r="D153" s="140" t="s">
        <v>1051</v>
      </c>
      <c r="E153" s="139" t="s">
        <v>1052</v>
      </c>
    </row>
    <row r="154">
      <c r="A154" s="7" t="s">
        <v>92</v>
      </c>
      <c r="B154" s="145">
        <v>1711.0</v>
      </c>
      <c r="C154" s="142" t="s">
        <v>1053</v>
      </c>
      <c r="D154" s="140" t="s">
        <v>697</v>
      </c>
      <c r="E154" s="139" t="s">
        <v>1054</v>
      </c>
    </row>
    <row r="155">
      <c r="A155" s="7" t="s">
        <v>92</v>
      </c>
      <c r="B155" s="145">
        <v>1711.0</v>
      </c>
      <c r="C155" s="142" t="s">
        <v>1055</v>
      </c>
      <c r="D155" s="140" t="s">
        <v>697</v>
      </c>
      <c r="E155" s="139" t="s">
        <v>1056</v>
      </c>
    </row>
    <row r="156">
      <c r="A156" s="7" t="s">
        <v>92</v>
      </c>
      <c r="B156" s="145">
        <v>1711.0</v>
      </c>
      <c r="C156" s="142" t="s">
        <v>1057</v>
      </c>
      <c r="D156" s="140" t="s">
        <v>697</v>
      </c>
      <c r="E156" s="139" t="s">
        <v>1058</v>
      </c>
    </row>
    <row r="157">
      <c r="A157" s="7" t="s">
        <v>92</v>
      </c>
      <c r="B157" s="145">
        <v>1711.0</v>
      </c>
      <c r="C157" s="142" t="s">
        <v>1059</v>
      </c>
      <c r="D157" s="140" t="s">
        <v>697</v>
      </c>
      <c r="E157" s="139" t="s">
        <v>1060</v>
      </c>
    </row>
    <row r="158">
      <c r="A158" s="7" t="s">
        <v>92</v>
      </c>
      <c r="B158" s="145">
        <v>1711.0</v>
      </c>
      <c r="C158" s="142" t="s">
        <v>118</v>
      </c>
      <c r="D158" s="140" t="s">
        <v>697</v>
      </c>
      <c r="E158" s="139" t="s">
        <v>1061</v>
      </c>
    </row>
    <row r="159">
      <c r="A159" s="7" t="s">
        <v>96</v>
      </c>
      <c r="B159" s="145">
        <v>1711.0</v>
      </c>
      <c r="C159" s="142" t="s">
        <v>1062</v>
      </c>
      <c r="D159" s="140" t="s">
        <v>697</v>
      </c>
      <c r="E159" s="139" t="s">
        <v>1063</v>
      </c>
    </row>
    <row r="160">
      <c r="A160" s="7" t="s">
        <v>96</v>
      </c>
      <c r="B160" s="145">
        <v>591.0</v>
      </c>
      <c r="C160" s="142" t="s">
        <v>1064</v>
      </c>
      <c r="D160" s="140" t="s">
        <v>1065</v>
      </c>
      <c r="E160" s="139" t="s">
        <v>1066</v>
      </c>
    </row>
    <row r="161">
      <c r="A161" s="7" t="s">
        <v>100</v>
      </c>
      <c r="B161" s="145">
        <v>1711.0</v>
      </c>
      <c r="C161" s="149" t="s">
        <v>1067</v>
      </c>
      <c r="D161" s="140" t="s">
        <v>697</v>
      </c>
      <c r="E161" s="139" t="s">
        <v>1068</v>
      </c>
    </row>
    <row r="162">
      <c r="A162" s="7" t="s">
        <v>100</v>
      </c>
      <c r="B162" s="145">
        <v>1711.0</v>
      </c>
      <c r="C162" s="150" t="s">
        <v>1069</v>
      </c>
      <c r="D162" s="140" t="s">
        <v>697</v>
      </c>
      <c r="E162" s="139" t="s">
        <v>1070</v>
      </c>
    </row>
    <row r="163">
      <c r="A163" s="7" t="s">
        <v>100</v>
      </c>
      <c r="B163" s="145">
        <v>1711.0</v>
      </c>
      <c r="C163" s="142" t="s">
        <v>1071</v>
      </c>
      <c r="D163" s="140" t="s">
        <v>697</v>
      </c>
      <c r="E163" s="139" t="s">
        <v>1072</v>
      </c>
    </row>
    <row r="164">
      <c r="A164" s="7" t="s">
        <v>100</v>
      </c>
      <c r="B164" s="145">
        <v>1711.0</v>
      </c>
      <c r="C164" s="142" t="s">
        <v>1073</v>
      </c>
      <c r="D164" s="140" t="s">
        <v>1074</v>
      </c>
      <c r="E164" s="139" t="s">
        <v>1075</v>
      </c>
    </row>
    <row r="165">
      <c r="A165" s="7" t="s">
        <v>100</v>
      </c>
      <c r="B165" s="145">
        <v>1711.0</v>
      </c>
      <c r="C165" s="142" t="s">
        <v>1076</v>
      </c>
      <c r="D165" s="140" t="s">
        <v>1077</v>
      </c>
      <c r="E165" s="139" t="s">
        <v>1078</v>
      </c>
    </row>
    <row r="166">
      <c r="A166" s="7" t="s">
        <v>102</v>
      </c>
      <c r="B166" s="145">
        <v>1711.0</v>
      </c>
      <c r="C166" s="142" t="s">
        <v>1079</v>
      </c>
      <c r="D166" s="140" t="s">
        <v>697</v>
      </c>
      <c r="E166" s="139" t="s">
        <v>1080</v>
      </c>
    </row>
    <row r="167">
      <c r="A167" s="7" t="s">
        <v>102</v>
      </c>
      <c r="B167" s="145">
        <v>1711.0</v>
      </c>
      <c r="C167" s="142" t="s">
        <v>1081</v>
      </c>
      <c r="D167" s="140" t="s">
        <v>697</v>
      </c>
      <c r="E167" s="139" t="s">
        <v>1082</v>
      </c>
    </row>
    <row r="168">
      <c r="A168" s="7" t="s">
        <v>102</v>
      </c>
      <c r="B168" s="145">
        <v>1711.0</v>
      </c>
      <c r="C168" s="142" t="s">
        <v>1083</v>
      </c>
      <c r="D168" s="140" t="s">
        <v>697</v>
      </c>
      <c r="E168" s="139" t="s">
        <v>1084</v>
      </c>
    </row>
    <row r="169">
      <c r="A169" s="7" t="s">
        <v>102</v>
      </c>
      <c r="B169" s="145">
        <v>1711.0</v>
      </c>
      <c r="C169" s="142" t="s">
        <v>1085</v>
      </c>
      <c r="D169" s="140" t="s">
        <v>1086</v>
      </c>
      <c r="E169" s="139" t="s">
        <v>1087</v>
      </c>
    </row>
    <row r="170">
      <c r="B170" s="151"/>
      <c r="D170" s="152"/>
      <c r="E170" s="7"/>
    </row>
    <row r="171">
      <c r="B171" s="151" t="s">
        <v>1088</v>
      </c>
      <c r="D171" s="153" t="s">
        <v>697</v>
      </c>
      <c r="E171" s="7" t="s">
        <v>1089</v>
      </c>
    </row>
    <row r="172">
      <c r="B172" s="7">
        <v>1687.0</v>
      </c>
      <c r="D172" s="153" t="s">
        <v>697</v>
      </c>
      <c r="E172" s="7" t="s">
        <v>1090</v>
      </c>
    </row>
    <row r="173">
      <c r="B173" s="151" t="s">
        <v>1091</v>
      </c>
      <c r="D173" s="153" t="s">
        <v>697</v>
      </c>
      <c r="E173" s="7" t="s">
        <v>1092</v>
      </c>
    </row>
    <row r="174">
      <c r="B174" s="151" t="s">
        <v>1093</v>
      </c>
      <c r="D174" s="153" t="s">
        <v>697</v>
      </c>
      <c r="E174" s="7" t="s">
        <v>1094</v>
      </c>
    </row>
    <row r="175">
      <c r="B175" s="154" t="s">
        <v>1095</v>
      </c>
      <c r="D175" s="153" t="s">
        <v>1096</v>
      </c>
      <c r="E175" s="7" t="s">
        <v>1097</v>
      </c>
    </row>
    <row r="176">
      <c r="B176" s="151" t="s">
        <v>1098</v>
      </c>
      <c r="D176" s="153" t="s">
        <v>1096</v>
      </c>
      <c r="E176" s="7" t="s">
        <v>1099</v>
      </c>
    </row>
    <row r="177">
      <c r="B177" s="7">
        <v>1711.0</v>
      </c>
      <c r="C177" s="7" t="s">
        <v>1100</v>
      </c>
      <c r="D177" s="153" t="s">
        <v>697</v>
      </c>
      <c r="E177" s="152" t="s">
        <v>1101</v>
      </c>
    </row>
    <row r="178">
      <c r="B178" s="7">
        <v>1618.0</v>
      </c>
      <c r="C178" s="7" t="s">
        <v>1102</v>
      </c>
      <c r="D178" s="153" t="s">
        <v>697</v>
      </c>
      <c r="E178" s="152" t="s">
        <v>1103</v>
      </c>
    </row>
    <row r="179">
      <c r="B179" s="7">
        <v>1711.0</v>
      </c>
      <c r="C179" s="7" t="s">
        <v>1104</v>
      </c>
      <c r="D179" s="153" t="s">
        <v>697</v>
      </c>
      <c r="E179" s="152" t="s">
        <v>1105</v>
      </c>
    </row>
    <row r="180">
      <c r="B180" s="7">
        <v>1711.0</v>
      </c>
      <c r="C180" s="7" t="s">
        <v>1106</v>
      </c>
      <c r="D180" s="153" t="s">
        <v>697</v>
      </c>
      <c r="E180" s="152" t="s">
        <v>1107</v>
      </c>
    </row>
    <row r="181">
      <c r="B181" s="7">
        <v>1711.0</v>
      </c>
      <c r="C181" s="7" t="s">
        <v>1108</v>
      </c>
      <c r="D181" s="153" t="s">
        <v>697</v>
      </c>
      <c r="E181" s="152" t="s">
        <v>1109</v>
      </c>
    </row>
    <row r="182">
      <c r="B182" s="7">
        <v>1711.0</v>
      </c>
      <c r="C182" s="7" t="s">
        <v>1110</v>
      </c>
      <c r="D182" s="153" t="s">
        <v>697</v>
      </c>
      <c r="E182" s="152" t="s">
        <v>1111</v>
      </c>
    </row>
    <row r="183">
      <c r="B183" s="7">
        <v>1711.0</v>
      </c>
      <c r="C183" s="7" t="s">
        <v>1112</v>
      </c>
      <c r="D183" s="153" t="s">
        <v>697</v>
      </c>
      <c r="E183" s="152" t="s">
        <v>1113</v>
      </c>
    </row>
    <row r="184">
      <c r="B184" s="7">
        <v>1711.0</v>
      </c>
      <c r="C184" s="7" t="s">
        <v>1114</v>
      </c>
      <c r="D184" s="153" t="s">
        <v>697</v>
      </c>
      <c r="E184" s="152" t="s">
        <v>1115</v>
      </c>
    </row>
    <row r="185">
      <c r="B185" s="7">
        <v>1711.0</v>
      </c>
      <c r="C185" s="7" t="s">
        <v>1116</v>
      </c>
      <c r="D185" s="153" t="s">
        <v>697</v>
      </c>
      <c r="E185" s="152" t="s">
        <v>1117</v>
      </c>
    </row>
    <row r="186">
      <c r="B186" s="7">
        <v>1711.0</v>
      </c>
      <c r="C186" s="7" t="s">
        <v>1118</v>
      </c>
      <c r="D186" s="153" t="s">
        <v>697</v>
      </c>
      <c r="E186" s="152" t="s">
        <v>1119</v>
      </c>
    </row>
    <row r="187">
      <c r="B187" s="7">
        <v>1711.0</v>
      </c>
      <c r="C187" s="7" t="s">
        <v>1120</v>
      </c>
      <c r="D187" s="153" t="s">
        <v>697</v>
      </c>
      <c r="E187" s="152" t="s">
        <v>1121</v>
      </c>
    </row>
    <row r="188">
      <c r="B188" s="151"/>
      <c r="D188" s="152"/>
      <c r="E188" s="7"/>
    </row>
    <row r="189">
      <c r="B189" s="151"/>
      <c r="D189" s="152"/>
      <c r="E189" s="7"/>
    </row>
    <row r="190">
      <c r="B190" s="151"/>
      <c r="D190" s="152"/>
      <c r="E190" s="7"/>
    </row>
    <row r="191">
      <c r="B191" s="151"/>
      <c r="D191" s="152"/>
      <c r="E191" s="7"/>
    </row>
    <row r="192">
      <c r="B192" s="151"/>
      <c r="D192" s="152"/>
      <c r="E192" s="7"/>
    </row>
    <row r="193">
      <c r="B193" s="151"/>
      <c r="D193" s="152"/>
      <c r="E193" s="7"/>
    </row>
  </sheetData>
  <hyperlinks>
    <hyperlink r:id="rId1" ref="D2"/>
    <hyperlink r:id="rId2" ref="D3"/>
    <hyperlink r:id="rId3" ref="D4"/>
    <hyperlink r:id="rId4" ref="D5"/>
    <hyperlink r:id="rId5" ref="D6"/>
    <hyperlink r:id="rId6" ref="D7"/>
    <hyperlink r:id="rId7" location="11._bis_17._Jahrhundert"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location=":~:text=248%207%20de%20schepencommissie%20voor,Sharpe%2C%20%E2%80%98Enforcing%20the%20law%E2%80%99%2C%20105" ref="D68"/>
    <hyperlink r:id="rId68" location=":~:text=sanctuaries%20of%20woodland%E2%80%94the%20royal%20forest,of%20forest%20reserves%20and%20warrens" ref="D69"/>
    <hyperlink r:id="rId69" location=":~:text=sanctuaries%20of%20woodland%E2%80%94the%20royal%20forest,of%20forest%20reserves%20and%20warrens" ref="D70"/>
    <hyperlink r:id="rId70" location=":~:text=Leibeigene%20waren%20Diener%20des%20Grundherrn,Dies" ref="D71"/>
    <hyperlink r:id="rId71" location=":~:text=Alle%20burgerlijke%20en%20publieke%20rechten,daarvoor%20zelfs%20een%20beloning%20uitgeloofd" ref="D72"/>
    <hyperlink r:id="rId72" location=":~:text=Bauernaufst%C3%A4nde%20oder%20Bauernkriege%20fanden%20vom,den%20Aufst%C3%A4ndischen%20und%20unterst%C3%BCtzten%20sie" ref="D73"/>
    <hyperlink r:id="rId73" location=":~:text=at%20Middelburg%2C%20Holland%20%2C%20where,death%2C%20his%20followers%2C%20to%20the" ref="D74"/>
    <hyperlink r:id="rId74" location=":~:text=whom%20figure%20among%20Aesop%27s%20Fables,the%20figure%20of%20harmless%20fun" ref="D75"/>
    <hyperlink r:id="rId75" ref="D76"/>
    <hyperlink r:id="rId76" location=":~:text=De%20polders%20noordelijk%20van%20de,de" ref="D77"/>
    <hyperlink r:id="rId77" location=":~:text=Het%20beklemrecht%20is%20ontstaan%20in,haar%20grondbezit%20om%20is%20gegaan" ref="D78"/>
    <hyperlink r:id="rId78" location=":~:text=Tussen%201600%20en%201900%20trokken,de" ref="D79"/>
    <hyperlink r:id="rId79" location=":~:text=In%20de%2017%5E%7Be%7D,en%20fabrieken%20van%20de%20kooplieden" ref="D80"/>
    <hyperlink r:id="rId80" location=":~:text=Tot%20in%20de%2017de%20eeuw,verwanten%20naar%20vergelding%20te%20temperen" ref="D81"/>
    <hyperlink r:id="rId81" location=":~:text=%E2%80%98Spare%E2%80%99%2C%20de%20titel%20van%20het,de%20tweede%20zoon%20van%20een" ref="D82"/>
    <hyperlink r:id="rId82" location=":~:text=vrouw%20heet%20Milka,Abram%20en%20zijn%20vrouw%20Sarai" ref="D83"/>
    <hyperlink r:id="rId83" location=":~:text=Reflecting%20a%20fascination%20with%20perspective,the%20most%20complex%20and%20sophisticated" ref="D84"/>
    <hyperlink r:id="rId84" location=":~:text=Mecenaatsrelaties%20waren%20in%20de%20oudheid%2C,gekweekt%20worden%20bij%20de%20onderdanen" ref="D85"/>
    <hyperlink r:id="rId85" ref="D86"/>
    <hyperlink r:id="rId86" location=":~:text=Alle%20burgerlijke%20en%20publieke%20rechten,daarvoor%20zelfs%20een%20beloning%20uitgeloofd"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1"/>
    <hyperlink r:id="rId170" ref="D172"/>
    <hyperlink r:id="rId171" ref="D173"/>
    <hyperlink r:id="rId172" ref="D174"/>
    <hyperlink r:id="rId173" ref="D175"/>
    <hyperlink r:id="rId174" ref="D176"/>
    <hyperlink r:id="rId175" location="Confessionalisering_en_het_tijdperk_van_de_Verlichting" ref="D177"/>
    <hyperlink r:id="rId176" location="Confessionalisering_en_het_tijdperk_van_de_Verlichting" ref="D178"/>
    <hyperlink r:id="rId177" location="Confessionalisering_en_het_tijdperk_van_de_Verlichting" ref="D179"/>
    <hyperlink r:id="rId178" location="Confessionalisering_en_het_tijdperk_van_de_Verlichting" ref="D180"/>
    <hyperlink r:id="rId179" location="Confessionalisering_en_het_tijdperk_van_de_Verlichting" ref="D181"/>
    <hyperlink r:id="rId180" location="Confessionalisering_en_het_tijdperk_van_de_Verlichting" ref="D182"/>
    <hyperlink r:id="rId181" location="Confessionalisering_en_het_tijdperk_van_de_Verlichting" ref="D183"/>
    <hyperlink r:id="rId182" location="Confessionalisering_en_het_tijdperk_van_de_Verlichting" ref="D184"/>
    <hyperlink r:id="rId183" location="Confessionalisering_en_het_tijdperk_van_de_Verlichting" ref="D185"/>
    <hyperlink r:id="rId184" location="Confessionalisering_en_het_tijdperk_van_de_Verlichting" ref="D186"/>
    <hyperlink r:id="rId185" location="Confessionalisering_en_het_tijdperk_van_de_Verlichting" ref="D187"/>
  </hyperlinks>
  <drawing r:id="rId18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27.63"/>
  </cols>
  <sheetData>
    <row r="1">
      <c r="A1" s="1" t="s">
        <v>0</v>
      </c>
      <c r="B1" s="1" t="s">
        <v>1122</v>
      </c>
      <c r="C1" s="1" t="s">
        <v>1123</v>
      </c>
      <c r="D1" s="1" t="s">
        <v>1124</v>
      </c>
      <c r="E1" s="5"/>
      <c r="F1" s="5"/>
      <c r="G1" s="5"/>
      <c r="H1" s="5"/>
      <c r="I1" s="5"/>
      <c r="J1" s="5"/>
      <c r="K1" s="5"/>
      <c r="L1" s="5"/>
      <c r="M1" s="5"/>
      <c r="N1" s="5"/>
      <c r="O1" s="5"/>
      <c r="P1" s="5"/>
      <c r="Q1" s="5"/>
      <c r="R1" s="5"/>
      <c r="S1" s="5"/>
      <c r="T1" s="5"/>
      <c r="U1" s="5"/>
      <c r="V1" s="5"/>
      <c r="W1" s="5"/>
      <c r="X1" s="5"/>
      <c r="Y1" s="5"/>
      <c r="Z1" s="5"/>
      <c r="AA1" s="5"/>
    </row>
    <row r="2">
      <c r="A2" s="155" t="s">
        <v>13</v>
      </c>
      <c r="B2" s="139" t="s">
        <v>1125</v>
      </c>
      <c r="C2" s="139" t="s">
        <v>1126</v>
      </c>
      <c r="D2" s="155" t="s">
        <v>1127</v>
      </c>
    </row>
    <row r="3">
      <c r="A3" s="155" t="s">
        <v>20</v>
      </c>
      <c r="B3" s="155" t="s">
        <v>1125</v>
      </c>
      <c r="C3" s="139" t="s">
        <v>1128</v>
      </c>
      <c r="D3" s="139" t="s">
        <v>16</v>
      </c>
    </row>
    <row r="4">
      <c r="A4" s="155" t="s">
        <v>20</v>
      </c>
      <c r="B4" s="155" t="s">
        <v>1125</v>
      </c>
      <c r="C4" s="139" t="s">
        <v>1129</v>
      </c>
      <c r="D4" s="139" t="s">
        <v>16</v>
      </c>
    </row>
    <row r="5">
      <c r="A5" s="155" t="s">
        <v>20</v>
      </c>
      <c r="B5" s="139" t="s">
        <v>16</v>
      </c>
      <c r="C5" s="139" t="s">
        <v>1130</v>
      </c>
      <c r="D5" s="155" t="s">
        <v>1131</v>
      </c>
    </row>
    <row r="6">
      <c r="A6" s="7" t="s">
        <v>22</v>
      </c>
      <c r="B6" s="139" t="s">
        <v>16</v>
      </c>
      <c r="C6" s="139" t="s">
        <v>1132</v>
      </c>
      <c r="D6" s="139" t="s">
        <v>1133</v>
      </c>
    </row>
    <row r="7">
      <c r="A7" s="7" t="s">
        <v>22</v>
      </c>
      <c r="B7" s="139" t="s">
        <v>1133</v>
      </c>
      <c r="C7" s="139" t="s">
        <v>1134</v>
      </c>
      <c r="D7" s="139" t="s">
        <v>633</v>
      </c>
    </row>
    <row r="8">
      <c r="A8" s="7" t="s">
        <v>22</v>
      </c>
      <c r="B8" s="139" t="s">
        <v>633</v>
      </c>
      <c r="C8" s="139" t="s">
        <v>1135</v>
      </c>
      <c r="D8" s="139" t="s">
        <v>637</v>
      </c>
    </row>
    <row r="9">
      <c r="A9" s="7" t="s">
        <v>22</v>
      </c>
      <c r="B9" s="139" t="s">
        <v>1133</v>
      </c>
      <c r="C9" s="139" t="s">
        <v>1136</v>
      </c>
      <c r="D9" s="139" t="s">
        <v>637</v>
      </c>
    </row>
    <row r="10">
      <c r="A10" s="7" t="s">
        <v>22</v>
      </c>
      <c r="B10" s="139" t="s">
        <v>688</v>
      </c>
      <c r="C10" s="139" t="s">
        <v>1137</v>
      </c>
      <c r="D10" s="139" t="s">
        <v>633</v>
      </c>
    </row>
    <row r="11">
      <c r="A11" s="7" t="s">
        <v>22</v>
      </c>
      <c r="B11" s="139" t="s">
        <v>637</v>
      </c>
      <c r="C11" s="139" t="s">
        <v>1138</v>
      </c>
      <c r="D11" s="139" t="s">
        <v>633</v>
      </c>
    </row>
    <row r="12">
      <c r="A12" s="7" t="s">
        <v>22</v>
      </c>
      <c r="B12" s="139" t="s">
        <v>16</v>
      </c>
      <c r="C12" s="139" t="s">
        <v>1139</v>
      </c>
      <c r="D12" s="139" t="s">
        <v>75</v>
      </c>
    </row>
    <row r="13">
      <c r="A13" s="7" t="s">
        <v>22</v>
      </c>
      <c r="B13" s="139" t="s">
        <v>633</v>
      </c>
      <c r="C13" s="139" t="s">
        <v>1140</v>
      </c>
      <c r="D13" s="139" t="s">
        <v>1141</v>
      </c>
    </row>
    <row r="14">
      <c r="A14" s="7" t="s">
        <v>22</v>
      </c>
      <c r="B14" s="139" t="s">
        <v>633</v>
      </c>
      <c r="C14" s="139" t="s">
        <v>1142</v>
      </c>
      <c r="D14" s="139" t="s">
        <v>1143</v>
      </c>
    </row>
    <row r="15">
      <c r="A15" s="7" t="s">
        <v>25</v>
      </c>
      <c r="B15" s="139" t="s">
        <v>16</v>
      </c>
      <c r="C15" s="139" t="s">
        <v>1144</v>
      </c>
      <c r="D15" s="139" t="s">
        <v>1145</v>
      </c>
    </row>
    <row r="16">
      <c r="A16" s="7" t="s">
        <v>25</v>
      </c>
      <c r="B16" s="139" t="s">
        <v>1146</v>
      </c>
      <c r="C16" s="139" t="s">
        <v>1147</v>
      </c>
      <c r="D16" s="139" t="s">
        <v>1145</v>
      </c>
    </row>
    <row r="17">
      <c r="A17" s="7" t="s">
        <v>25</v>
      </c>
      <c r="B17" s="139" t="s">
        <v>1145</v>
      </c>
      <c r="C17" s="139" t="s">
        <v>1148</v>
      </c>
      <c r="D17" s="139" t="s">
        <v>1149</v>
      </c>
    </row>
    <row r="18">
      <c r="A18" s="7" t="s">
        <v>28</v>
      </c>
      <c r="B18" s="139" t="s">
        <v>1150</v>
      </c>
      <c r="C18" s="139" t="s">
        <v>1151</v>
      </c>
      <c r="D18" s="139" t="s">
        <v>1152</v>
      </c>
    </row>
    <row r="19">
      <c r="A19" s="7" t="s">
        <v>28</v>
      </c>
      <c r="B19" s="139" t="s">
        <v>1152</v>
      </c>
      <c r="C19" s="139" t="s">
        <v>1153</v>
      </c>
      <c r="D19" s="139" t="s">
        <v>1150</v>
      </c>
    </row>
    <row r="20">
      <c r="A20" s="7" t="s">
        <v>28</v>
      </c>
      <c r="B20" s="139" t="s">
        <v>75</v>
      </c>
      <c r="C20" s="139" t="s">
        <v>1154</v>
      </c>
      <c r="D20" s="139" t="s">
        <v>1152</v>
      </c>
    </row>
    <row r="21">
      <c r="A21" s="7" t="s">
        <v>28</v>
      </c>
      <c r="B21" s="139" t="s">
        <v>16</v>
      </c>
      <c r="C21" s="139" t="s">
        <v>1154</v>
      </c>
      <c r="D21" s="139" t="s">
        <v>1152</v>
      </c>
    </row>
    <row r="22">
      <c r="A22" s="7" t="s">
        <v>28</v>
      </c>
      <c r="B22" s="139" t="s">
        <v>1152</v>
      </c>
      <c r="C22" s="139" t="s">
        <v>1155</v>
      </c>
      <c r="D22" s="139" t="s">
        <v>1156</v>
      </c>
    </row>
    <row r="23">
      <c r="A23" s="7" t="s">
        <v>31</v>
      </c>
      <c r="B23" s="139" t="s">
        <v>16</v>
      </c>
      <c r="C23" s="139" t="s">
        <v>1157</v>
      </c>
      <c r="D23" s="139" t="s">
        <v>1158</v>
      </c>
    </row>
    <row r="24">
      <c r="A24" s="7" t="s">
        <v>31</v>
      </c>
      <c r="B24" s="139" t="s">
        <v>1152</v>
      </c>
      <c r="C24" s="139" t="s">
        <v>1159</v>
      </c>
      <c r="D24" s="139" t="s">
        <v>1158</v>
      </c>
    </row>
    <row r="25">
      <c r="A25" s="7" t="s">
        <v>31</v>
      </c>
      <c r="B25" s="139" t="s">
        <v>75</v>
      </c>
      <c r="C25" s="139" t="s">
        <v>1159</v>
      </c>
      <c r="D25" s="139" t="s">
        <v>1158</v>
      </c>
    </row>
    <row r="26">
      <c r="A26" s="7" t="s">
        <v>31</v>
      </c>
      <c r="B26" s="139" t="s">
        <v>16</v>
      </c>
      <c r="C26" s="139" t="s">
        <v>1160</v>
      </c>
      <c r="D26" s="139" t="s">
        <v>75</v>
      </c>
    </row>
    <row r="27">
      <c r="A27" s="7" t="s">
        <v>31</v>
      </c>
      <c r="B27" s="139" t="s">
        <v>75</v>
      </c>
      <c r="C27" s="139" t="s">
        <v>1161</v>
      </c>
      <c r="D27" s="139" t="s">
        <v>16</v>
      </c>
    </row>
    <row r="28">
      <c r="A28" s="7" t="s">
        <v>31</v>
      </c>
      <c r="B28" s="139" t="s">
        <v>16</v>
      </c>
      <c r="C28" s="139" t="s">
        <v>1162</v>
      </c>
      <c r="D28" s="139" t="s">
        <v>51</v>
      </c>
    </row>
    <row r="29">
      <c r="A29" s="7" t="s">
        <v>31</v>
      </c>
      <c r="B29" s="139" t="s">
        <v>16</v>
      </c>
      <c r="C29" s="139" t="s">
        <v>1163</v>
      </c>
      <c r="D29" s="139" t="s">
        <v>1164</v>
      </c>
    </row>
    <row r="30">
      <c r="A30" s="7" t="s">
        <v>31</v>
      </c>
      <c r="B30" s="139" t="s">
        <v>1133</v>
      </c>
      <c r="C30" s="139" t="s">
        <v>1134</v>
      </c>
      <c r="D30" s="139" t="s">
        <v>1158</v>
      </c>
    </row>
    <row r="31">
      <c r="A31" s="7" t="s">
        <v>31</v>
      </c>
      <c r="B31" s="139" t="s">
        <v>1152</v>
      </c>
      <c r="C31" s="139" t="s">
        <v>1134</v>
      </c>
      <c r="D31" s="139" t="s">
        <v>1158</v>
      </c>
    </row>
    <row r="32">
      <c r="A32" s="7" t="s">
        <v>31</v>
      </c>
      <c r="B32" s="139" t="s">
        <v>16</v>
      </c>
      <c r="C32" s="139" t="s">
        <v>1134</v>
      </c>
      <c r="D32" s="139" t="s">
        <v>1158</v>
      </c>
    </row>
    <row r="33">
      <c r="A33" s="7" t="s">
        <v>31</v>
      </c>
      <c r="B33" s="139" t="s">
        <v>75</v>
      </c>
      <c r="C33" s="139" t="s">
        <v>1134</v>
      </c>
      <c r="D33" s="139" t="s">
        <v>1158</v>
      </c>
    </row>
    <row r="34">
      <c r="A34" s="139" t="s">
        <v>35</v>
      </c>
      <c r="B34" s="139" t="s">
        <v>1165</v>
      </c>
      <c r="C34" s="139" t="s">
        <v>1166</v>
      </c>
      <c r="D34" s="139" t="s">
        <v>1167</v>
      </c>
    </row>
    <row r="35">
      <c r="A35" s="139" t="s">
        <v>35</v>
      </c>
      <c r="B35" s="139" t="s">
        <v>1165</v>
      </c>
      <c r="C35" s="139" t="s">
        <v>1168</v>
      </c>
      <c r="D35" s="139" t="s">
        <v>1169</v>
      </c>
    </row>
    <row r="36">
      <c r="A36" s="139" t="s">
        <v>35</v>
      </c>
      <c r="B36" s="139" t="s">
        <v>1167</v>
      </c>
      <c r="C36" s="155" t="s">
        <v>1170</v>
      </c>
      <c r="D36" s="139" t="s">
        <v>1169</v>
      </c>
    </row>
    <row r="37">
      <c r="A37" s="139" t="s">
        <v>35</v>
      </c>
      <c r="B37" s="155" t="s">
        <v>16</v>
      </c>
      <c r="C37" s="139" t="s">
        <v>1171</v>
      </c>
      <c r="D37" s="139" t="s">
        <v>1165</v>
      </c>
    </row>
    <row r="38">
      <c r="A38" s="139" t="s">
        <v>35</v>
      </c>
      <c r="B38" s="155" t="s">
        <v>16</v>
      </c>
      <c r="C38" s="139" t="s">
        <v>1172</v>
      </c>
      <c r="D38" s="139" t="s">
        <v>1165</v>
      </c>
    </row>
    <row r="39">
      <c r="A39" s="7" t="s">
        <v>37</v>
      </c>
      <c r="B39" s="139" t="s">
        <v>75</v>
      </c>
      <c r="C39" s="139" t="s">
        <v>1173</v>
      </c>
      <c r="D39" s="139" t="s">
        <v>1165</v>
      </c>
    </row>
    <row r="40">
      <c r="A40" s="7" t="s">
        <v>37</v>
      </c>
      <c r="B40" s="139" t="s">
        <v>16</v>
      </c>
      <c r="C40" s="139" t="s">
        <v>1173</v>
      </c>
      <c r="D40" s="139" t="s">
        <v>1165</v>
      </c>
    </row>
    <row r="41">
      <c r="A41" s="7" t="s">
        <v>37</v>
      </c>
      <c r="B41" s="139" t="s">
        <v>1167</v>
      </c>
      <c r="C41" s="139" t="s">
        <v>1174</v>
      </c>
      <c r="D41" s="139" t="s">
        <v>1175</v>
      </c>
    </row>
    <row r="42">
      <c r="A42" s="7" t="s">
        <v>39</v>
      </c>
      <c r="B42" s="139" t="s">
        <v>1125</v>
      </c>
      <c r="C42" s="139" t="s">
        <v>1176</v>
      </c>
      <c r="D42" s="139" t="s">
        <v>16</v>
      </c>
    </row>
    <row r="43">
      <c r="A43" s="7" t="s">
        <v>39</v>
      </c>
      <c r="B43" s="139" t="s">
        <v>1125</v>
      </c>
      <c r="C43" s="139" t="s">
        <v>1177</v>
      </c>
      <c r="D43" s="139" t="s">
        <v>16</v>
      </c>
    </row>
    <row r="44">
      <c r="A44" s="155" t="s">
        <v>41</v>
      </c>
      <c r="B44" s="139" t="s">
        <v>1178</v>
      </c>
      <c r="C44" s="139" t="s">
        <v>1179</v>
      </c>
      <c r="D44" s="139" t="s">
        <v>1180</v>
      </c>
    </row>
    <row r="45">
      <c r="A45" s="155" t="s">
        <v>41</v>
      </c>
      <c r="B45" s="139" t="s">
        <v>16</v>
      </c>
      <c r="C45" s="139" t="s">
        <v>1181</v>
      </c>
      <c r="D45" s="139" t="s">
        <v>1178</v>
      </c>
    </row>
    <row r="46">
      <c r="A46" s="7" t="s">
        <v>43</v>
      </c>
      <c r="B46" s="139" t="s">
        <v>1125</v>
      </c>
      <c r="C46" s="139" t="s">
        <v>1179</v>
      </c>
      <c r="D46" s="139" t="s">
        <v>1165</v>
      </c>
    </row>
    <row r="47">
      <c r="A47" s="7" t="s">
        <v>43</v>
      </c>
      <c r="B47" s="139" t="s">
        <v>1125</v>
      </c>
      <c r="C47" s="139" t="s">
        <v>1182</v>
      </c>
      <c r="D47" s="139" t="s">
        <v>1165</v>
      </c>
    </row>
    <row r="48">
      <c r="A48" s="7" t="s">
        <v>43</v>
      </c>
      <c r="B48" s="139" t="s">
        <v>1125</v>
      </c>
      <c r="C48" s="139" t="s">
        <v>1183</v>
      </c>
      <c r="D48" s="139" t="s">
        <v>1165</v>
      </c>
    </row>
    <row r="49">
      <c r="A49" s="7" t="s">
        <v>46</v>
      </c>
      <c r="B49" s="139" t="s">
        <v>16</v>
      </c>
      <c r="C49" s="139" t="s">
        <v>1184</v>
      </c>
      <c r="D49" s="139" t="s">
        <v>1125</v>
      </c>
    </row>
    <row r="50">
      <c r="A50" s="7" t="s">
        <v>46</v>
      </c>
      <c r="B50" s="139" t="s">
        <v>16</v>
      </c>
      <c r="C50" s="139" t="s">
        <v>1185</v>
      </c>
      <c r="D50" s="139" t="s">
        <v>1125</v>
      </c>
    </row>
    <row r="51">
      <c r="A51" s="7" t="s">
        <v>46</v>
      </c>
      <c r="B51" s="139" t="s">
        <v>1175</v>
      </c>
      <c r="C51" s="139" t="s">
        <v>1186</v>
      </c>
      <c r="D51" s="139" t="s">
        <v>1125</v>
      </c>
    </row>
    <row r="52">
      <c r="A52" s="7" t="s">
        <v>46</v>
      </c>
      <c r="B52" s="139" t="s">
        <v>1175</v>
      </c>
      <c r="C52" s="139" t="s">
        <v>1187</v>
      </c>
      <c r="D52" s="139" t="s">
        <v>155</v>
      </c>
    </row>
    <row r="53">
      <c r="A53" s="7" t="s">
        <v>48</v>
      </c>
      <c r="B53" s="139" t="s">
        <v>16</v>
      </c>
      <c r="C53" s="139" t="s">
        <v>1188</v>
      </c>
      <c r="D53" s="139" t="s">
        <v>1189</v>
      </c>
    </row>
    <row r="54">
      <c r="A54" s="7" t="s">
        <v>48</v>
      </c>
      <c r="B54" s="139" t="s">
        <v>1190</v>
      </c>
      <c r="C54" s="139" t="s">
        <v>1191</v>
      </c>
      <c r="D54" s="139" t="s">
        <v>1192</v>
      </c>
    </row>
    <row r="55">
      <c r="A55" s="7" t="s">
        <v>48</v>
      </c>
      <c r="B55" s="139" t="s">
        <v>16</v>
      </c>
      <c r="C55" s="139" t="s">
        <v>1193</v>
      </c>
      <c r="D55" s="139" t="s">
        <v>1190</v>
      </c>
    </row>
    <row r="56">
      <c r="A56" s="7" t="s">
        <v>51</v>
      </c>
      <c r="B56" s="139" t="s">
        <v>53</v>
      </c>
      <c r="C56" s="139" t="s">
        <v>1194</v>
      </c>
      <c r="D56" s="139" t="s">
        <v>633</v>
      </c>
    </row>
    <row r="57">
      <c r="A57" s="7" t="s">
        <v>51</v>
      </c>
      <c r="B57" s="139" t="s">
        <v>633</v>
      </c>
      <c r="C57" s="139" t="s">
        <v>1195</v>
      </c>
      <c r="D57" s="139" t="s">
        <v>915</v>
      </c>
    </row>
    <row r="58">
      <c r="A58" s="7" t="s">
        <v>51</v>
      </c>
      <c r="B58" s="139" t="s">
        <v>633</v>
      </c>
      <c r="C58" s="139" t="s">
        <v>1196</v>
      </c>
      <c r="D58" s="139" t="s">
        <v>1197</v>
      </c>
    </row>
    <row r="59">
      <c r="A59" s="7" t="s">
        <v>51</v>
      </c>
      <c r="B59" s="139" t="s">
        <v>633</v>
      </c>
      <c r="C59" s="139" t="s">
        <v>1198</v>
      </c>
      <c r="D59" s="139" t="s">
        <v>1199</v>
      </c>
    </row>
    <row r="60">
      <c r="A60" s="7" t="s">
        <v>53</v>
      </c>
      <c r="B60" s="7" t="s">
        <v>1167</v>
      </c>
      <c r="C60" s="7" t="s">
        <v>1200</v>
      </c>
      <c r="D60" s="7" t="s">
        <v>1165</v>
      </c>
    </row>
    <row r="61">
      <c r="A61" s="7" t="s">
        <v>53</v>
      </c>
      <c r="B61" s="7" t="s">
        <v>1167</v>
      </c>
      <c r="C61" s="7" t="s">
        <v>1201</v>
      </c>
      <c r="D61" s="7" t="s">
        <v>16</v>
      </c>
    </row>
    <row r="62">
      <c r="A62" s="7" t="s">
        <v>53</v>
      </c>
      <c r="B62" s="7" t="s">
        <v>1167</v>
      </c>
      <c r="C62" s="7" t="s">
        <v>1202</v>
      </c>
      <c r="D62" s="7" t="s">
        <v>1203</v>
      </c>
    </row>
    <row r="63">
      <c r="A63" s="7" t="s">
        <v>55</v>
      </c>
      <c r="B63" s="7" t="s">
        <v>16</v>
      </c>
      <c r="C63" s="7" t="s">
        <v>1204</v>
      </c>
      <c r="D63" s="7" t="s">
        <v>1165</v>
      </c>
    </row>
    <row r="64">
      <c r="A64" s="7" t="s">
        <v>58</v>
      </c>
      <c r="B64" s="7" t="s">
        <v>1205</v>
      </c>
      <c r="C64" s="7" t="s">
        <v>1200</v>
      </c>
      <c r="D64" s="7" t="s">
        <v>1206</v>
      </c>
    </row>
    <row r="65">
      <c r="A65" s="7" t="s">
        <v>58</v>
      </c>
      <c r="B65" s="7" t="s">
        <v>1205</v>
      </c>
      <c r="C65" s="7" t="s">
        <v>1207</v>
      </c>
      <c r="D65" s="7" t="s">
        <v>1175</v>
      </c>
    </row>
    <row r="66">
      <c r="A66" s="7" t="s">
        <v>60</v>
      </c>
      <c r="B66" s="139" t="s">
        <v>1125</v>
      </c>
      <c r="C66" s="139" t="s">
        <v>1208</v>
      </c>
      <c r="D66" s="139" t="s">
        <v>16</v>
      </c>
    </row>
    <row r="67">
      <c r="A67" s="7" t="s">
        <v>60</v>
      </c>
      <c r="B67" s="139" t="s">
        <v>1125</v>
      </c>
      <c r="C67" s="139" t="s">
        <v>1209</v>
      </c>
      <c r="D67" s="139" t="s">
        <v>1210</v>
      </c>
    </row>
    <row r="68">
      <c r="A68" s="7" t="s">
        <v>64</v>
      </c>
      <c r="B68" s="7" t="s">
        <v>64</v>
      </c>
      <c r="C68" s="7" t="s">
        <v>1211</v>
      </c>
      <c r="D68" s="7" t="s">
        <v>1212</v>
      </c>
    </row>
    <row r="69">
      <c r="A69" s="7" t="s">
        <v>64</v>
      </c>
      <c r="B69" s="7" t="s">
        <v>132</v>
      </c>
      <c r="C69" s="7" t="s">
        <v>1213</v>
      </c>
      <c r="D69" s="7" t="s">
        <v>64</v>
      </c>
    </row>
    <row r="70">
      <c r="A70" s="7" t="s">
        <v>64</v>
      </c>
      <c r="B70" s="7" t="s">
        <v>16</v>
      </c>
      <c r="C70" s="7" t="s">
        <v>1213</v>
      </c>
      <c r="D70" s="7" t="s">
        <v>132</v>
      </c>
    </row>
    <row r="71">
      <c r="A71" s="7" t="s">
        <v>72</v>
      </c>
      <c r="B71" s="139" t="s">
        <v>1152</v>
      </c>
      <c r="C71" s="155" t="s">
        <v>1214</v>
      </c>
      <c r="D71" s="139" t="s">
        <v>1215</v>
      </c>
    </row>
    <row r="72">
      <c r="A72" s="7" t="s">
        <v>74</v>
      </c>
      <c r="B72" s="139" t="s">
        <v>75</v>
      </c>
      <c r="C72" s="139" t="s">
        <v>1216</v>
      </c>
      <c r="D72" s="139" t="s">
        <v>1133</v>
      </c>
    </row>
    <row r="73">
      <c r="A73" s="7" t="s">
        <v>79</v>
      </c>
      <c r="B73" s="139" t="s">
        <v>1152</v>
      </c>
      <c r="C73" s="139" t="s">
        <v>1217</v>
      </c>
      <c r="D73" s="139" t="s">
        <v>75</v>
      </c>
    </row>
    <row r="74">
      <c r="A74" s="7" t="s">
        <v>79</v>
      </c>
      <c r="B74" s="139" t="s">
        <v>75</v>
      </c>
      <c r="C74" s="139" t="s">
        <v>1218</v>
      </c>
      <c r="D74" s="139" t="s">
        <v>16</v>
      </c>
    </row>
    <row r="75">
      <c r="A75" s="7" t="s">
        <v>81</v>
      </c>
      <c r="B75" s="139" t="s">
        <v>633</v>
      </c>
      <c r="C75" s="139" t="s">
        <v>1219</v>
      </c>
      <c r="D75" s="139" t="s">
        <v>637</v>
      </c>
    </row>
    <row r="76">
      <c r="A76" s="7" t="s">
        <v>81</v>
      </c>
      <c r="B76" s="139" t="s">
        <v>75</v>
      </c>
      <c r="C76" s="139" t="s">
        <v>1220</v>
      </c>
      <c r="D76" s="139" t="s">
        <v>16</v>
      </c>
    </row>
    <row r="77">
      <c r="A77" s="7" t="s">
        <v>81</v>
      </c>
      <c r="B77" s="139" t="s">
        <v>633</v>
      </c>
      <c r="C77" s="139" t="s">
        <v>1221</v>
      </c>
      <c r="D77" s="139" t="s">
        <v>637</v>
      </c>
    </row>
    <row r="78">
      <c r="A78" s="7" t="s">
        <v>81</v>
      </c>
      <c r="B78" s="139" t="s">
        <v>633</v>
      </c>
      <c r="C78" s="139" t="s">
        <v>1221</v>
      </c>
      <c r="D78" s="139" t="s">
        <v>75</v>
      </c>
    </row>
    <row r="79">
      <c r="A79" s="7" t="s">
        <v>81</v>
      </c>
      <c r="B79" s="139" t="s">
        <v>633</v>
      </c>
      <c r="C79" s="139" t="s">
        <v>1221</v>
      </c>
      <c r="D79" s="139" t="s">
        <v>16</v>
      </c>
    </row>
    <row r="80">
      <c r="A80" s="7" t="s">
        <v>81</v>
      </c>
      <c r="B80" s="139" t="s">
        <v>633</v>
      </c>
      <c r="C80" s="139" t="s">
        <v>1221</v>
      </c>
      <c r="D80" s="139" t="s">
        <v>1222</v>
      </c>
    </row>
    <row r="81">
      <c r="A81" s="7" t="s">
        <v>86</v>
      </c>
      <c r="B81" s="139" t="s">
        <v>1164</v>
      </c>
      <c r="C81" s="139" t="s">
        <v>1223</v>
      </c>
      <c r="D81" s="139" t="s">
        <v>16</v>
      </c>
    </row>
    <row r="82">
      <c r="A82" s="7" t="s">
        <v>86</v>
      </c>
      <c r="B82" s="139" t="s">
        <v>1164</v>
      </c>
      <c r="C82" s="139" t="s">
        <v>1224</v>
      </c>
      <c r="D82" s="139" t="s">
        <v>16</v>
      </c>
    </row>
    <row r="83">
      <c r="A83" s="7" t="s">
        <v>86</v>
      </c>
      <c r="B83" s="139" t="s">
        <v>1164</v>
      </c>
      <c r="C83" s="139" t="s">
        <v>1225</v>
      </c>
      <c r="D83" s="139" t="s">
        <v>1152</v>
      </c>
    </row>
    <row r="84">
      <c r="A84" s="7" t="s">
        <v>86</v>
      </c>
      <c r="B84" s="139" t="s">
        <v>1164</v>
      </c>
      <c r="C84" s="139" t="s">
        <v>1226</v>
      </c>
      <c r="D84" s="139" t="s">
        <v>1152</v>
      </c>
    </row>
    <row r="85">
      <c r="A85" s="7" t="s">
        <v>86</v>
      </c>
      <c r="B85" s="139" t="s">
        <v>1152</v>
      </c>
      <c r="C85" s="139" t="s">
        <v>1227</v>
      </c>
      <c r="D85" s="139" t="s">
        <v>1228</v>
      </c>
    </row>
    <row r="86">
      <c r="A86" s="7" t="s">
        <v>86</v>
      </c>
      <c r="B86" s="139" t="s">
        <v>1164</v>
      </c>
      <c r="C86" s="139" t="s">
        <v>1229</v>
      </c>
      <c r="D86" s="139" t="s">
        <v>1230</v>
      </c>
    </row>
    <row r="87">
      <c r="A87" s="7" t="s">
        <v>86</v>
      </c>
      <c r="B87" s="139" t="s">
        <v>1164</v>
      </c>
      <c r="C87" s="139" t="s">
        <v>1231</v>
      </c>
      <c r="D87" s="139" t="s">
        <v>1232</v>
      </c>
    </row>
    <row r="88">
      <c r="A88" s="7" t="s">
        <v>86</v>
      </c>
      <c r="B88" s="139" t="s">
        <v>1230</v>
      </c>
      <c r="C88" s="139" t="s">
        <v>1233</v>
      </c>
      <c r="D88" s="139" t="s">
        <v>1232</v>
      </c>
    </row>
    <row r="89">
      <c r="A89" s="7" t="s">
        <v>88</v>
      </c>
      <c r="B89" s="139" t="s">
        <v>1175</v>
      </c>
      <c r="C89" s="139" t="s">
        <v>1234</v>
      </c>
      <c r="D89" s="139" t="s">
        <v>1235</v>
      </c>
    </row>
    <row r="90">
      <c r="A90" s="7" t="s">
        <v>90</v>
      </c>
      <c r="B90" s="139" t="s">
        <v>633</v>
      </c>
      <c r="C90" s="139" t="s">
        <v>1135</v>
      </c>
      <c r="D90" s="139" t="s">
        <v>637</v>
      </c>
    </row>
    <row r="91">
      <c r="A91" s="7" t="s">
        <v>90</v>
      </c>
      <c r="B91" s="139" t="s">
        <v>75</v>
      </c>
      <c r="C91" s="139" t="s">
        <v>1236</v>
      </c>
      <c r="D91" s="139" t="s">
        <v>633</v>
      </c>
    </row>
    <row r="92">
      <c r="A92" s="7" t="s">
        <v>92</v>
      </c>
      <c r="B92" s="139" t="s">
        <v>1175</v>
      </c>
      <c r="C92" s="139" t="s">
        <v>1237</v>
      </c>
      <c r="D92" s="139" t="s">
        <v>1238</v>
      </c>
    </row>
    <row r="93">
      <c r="A93" s="7" t="s">
        <v>92</v>
      </c>
      <c r="B93" s="139" t="s">
        <v>1238</v>
      </c>
      <c r="C93" s="139" t="s">
        <v>1239</v>
      </c>
      <c r="D93" s="139" t="s">
        <v>1175</v>
      </c>
    </row>
    <row r="94">
      <c r="A94" s="7" t="s">
        <v>92</v>
      </c>
      <c r="B94" s="139" t="s">
        <v>633</v>
      </c>
      <c r="C94" s="139" t="s">
        <v>1240</v>
      </c>
      <c r="D94" s="139" t="s">
        <v>1238</v>
      </c>
    </row>
    <row r="95">
      <c r="A95" s="7" t="s">
        <v>100</v>
      </c>
      <c r="B95" s="139" t="s">
        <v>16</v>
      </c>
      <c r="C95" s="139" t="s">
        <v>1241</v>
      </c>
      <c r="D95" s="139" t="s">
        <v>58</v>
      </c>
    </row>
    <row r="96">
      <c r="A96" s="7" t="s">
        <v>102</v>
      </c>
      <c r="B96" s="139" t="s">
        <v>16</v>
      </c>
      <c r="C96" s="139" t="s">
        <v>1242</v>
      </c>
      <c r="D96" s="139" t="s">
        <v>1189</v>
      </c>
    </row>
    <row r="97">
      <c r="A97" s="7"/>
      <c r="B97" s="7"/>
      <c r="C97" s="7"/>
      <c r="D97" s="7"/>
    </row>
    <row r="98">
      <c r="A98" s="7"/>
      <c r="B98" s="7" t="s">
        <v>152</v>
      </c>
      <c r="C98" s="7" t="s">
        <v>1213</v>
      </c>
      <c r="D98" s="7" t="s">
        <v>16</v>
      </c>
    </row>
    <row r="99">
      <c r="A99" s="7"/>
      <c r="B99" s="7" t="s">
        <v>152</v>
      </c>
      <c r="C99" s="7" t="s">
        <v>1243</v>
      </c>
      <c r="D99" s="7" t="s">
        <v>1244</v>
      </c>
    </row>
    <row r="100">
      <c r="A100" s="7"/>
      <c r="B100" s="7" t="s">
        <v>16</v>
      </c>
      <c r="C100" s="7" t="s">
        <v>1200</v>
      </c>
      <c r="D100" s="7" t="s">
        <v>1245</v>
      </c>
    </row>
    <row r="101">
      <c r="A101" s="7"/>
      <c r="B101" s="7" t="s">
        <v>16</v>
      </c>
      <c r="C101" s="7" t="s">
        <v>1246</v>
      </c>
      <c r="D101" s="7" t="s">
        <v>1247</v>
      </c>
    </row>
    <row r="102">
      <c r="A102" s="7"/>
      <c r="B102" s="7" t="s">
        <v>16</v>
      </c>
      <c r="C102" s="7" t="s">
        <v>1248</v>
      </c>
      <c r="D102" s="7" t="s">
        <v>1249</v>
      </c>
    </row>
    <row r="103">
      <c r="A103" s="7"/>
    </row>
    <row r="104">
      <c r="A104" s="7"/>
      <c r="B104" s="7" t="s">
        <v>16</v>
      </c>
      <c r="C104" s="7" t="s">
        <v>1250</v>
      </c>
      <c r="D104" s="7" t="s">
        <v>75</v>
      </c>
    </row>
    <row r="105">
      <c r="A105" s="7"/>
      <c r="B105" s="7" t="s">
        <v>16</v>
      </c>
      <c r="C105" s="7" t="s">
        <v>1225</v>
      </c>
      <c r="D105" s="7" t="s">
        <v>237</v>
      </c>
    </row>
    <row r="106">
      <c r="A106" s="7"/>
      <c r="B106" s="7" t="s">
        <v>16</v>
      </c>
      <c r="C106" s="7" t="s">
        <v>1251</v>
      </c>
      <c r="D106" s="7" t="s">
        <v>1125</v>
      </c>
    </row>
    <row r="107">
      <c r="A107" s="7"/>
      <c r="B107" s="7" t="s">
        <v>16</v>
      </c>
      <c r="C107" s="7" t="s">
        <v>1252</v>
      </c>
      <c r="D107" s="7" t="s">
        <v>1125</v>
      </c>
    </row>
    <row r="108">
      <c r="A108" s="7"/>
      <c r="B108" s="7" t="s">
        <v>16</v>
      </c>
      <c r="C108" s="7" t="s">
        <v>1253</v>
      </c>
      <c r="D108" s="7" t="s">
        <v>1254</v>
      </c>
    </row>
    <row r="109">
      <c r="A109" s="7"/>
      <c r="B109" s="7" t="s">
        <v>16</v>
      </c>
      <c r="C109" s="7" t="s">
        <v>1255</v>
      </c>
      <c r="D109" s="7" t="s">
        <v>227</v>
      </c>
    </row>
    <row r="110">
      <c r="A110" s="7"/>
      <c r="B110" s="7" t="s">
        <v>16</v>
      </c>
      <c r="C110" s="7" t="s">
        <v>1256</v>
      </c>
      <c r="D110" s="7" t="s">
        <v>1245</v>
      </c>
    </row>
    <row r="111">
      <c r="A111" s="7"/>
      <c r="B111" s="7" t="s">
        <v>16</v>
      </c>
      <c r="C111" s="7" t="s">
        <v>1257</v>
      </c>
      <c r="D111" s="7" t="s">
        <v>801</v>
      </c>
    </row>
    <row r="112">
      <c r="A112" s="7"/>
      <c r="B112" s="7" t="s">
        <v>75</v>
      </c>
      <c r="C112" s="7" t="s">
        <v>1248</v>
      </c>
      <c r="D112" s="7" t="s">
        <v>1175</v>
      </c>
    </row>
    <row r="113">
      <c r="A113" s="7"/>
    </row>
    <row r="114">
      <c r="A114" s="7"/>
      <c r="B114" s="7" t="s">
        <v>155</v>
      </c>
      <c r="C114" s="7" t="s">
        <v>1258</v>
      </c>
      <c r="D114" s="7" t="s">
        <v>1259</v>
      </c>
    </row>
    <row r="115">
      <c r="A115" s="7"/>
      <c r="B115" s="7" t="s">
        <v>155</v>
      </c>
      <c r="C115" s="7" t="s">
        <v>1126</v>
      </c>
      <c r="D115" s="7" t="s">
        <v>1125</v>
      </c>
    </row>
    <row r="116">
      <c r="A116" s="7"/>
      <c r="B116" s="7" t="s">
        <v>155</v>
      </c>
      <c r="C116" s="7" t="s">
        <v>1260</v>
      </c>
      <c r="D116" s="7" t="s">
        <v>1125</v>
      </c>
    </row>
    <row r="117">
      <c r="A117" s="7"/>
      <c r="B117" s="7" t="s">
        <v>155</v>
      </c>
      <c r="C117" s="7" t="s">
        <v>1260</v>
      </c>
      <c r="D117" s="7" t="s">
        <v>1175</v>
      </c>
    </row>
    <row r="118">
      <c r="A118" s="7"/>
      <c r="B118" s="7" t="s">
        <v>185</v>
      </c>
      <c r="C118" s="7" t="s">
        <v>1258</v>
      </c>
      <c r="D118" s="7" t="s">
        <v>1261</v>
      </c>
    </row>
    <row r="119">
      <c r="A119" s="7"/>
      <c r="B119" s="7" t="s">
        <v>185</v>
      </c>
      <c r="C119" s="7" t="s">
        <v>1251</v>
      </c>
      <c r="D119" s="7" t="s">
        <v>1125</v>
      </c>
    </row>
    <row r="120">
      <c r="A120" s="7"/>
      <c r="B120" s="7" t="s">
        <v>185</v>
      </c>
      <c r="C120" s="7" t="s">
        <v>1200</v>
      </c>
      <c r="D120" s="7" t="s">
        <v>1180</v>
      </c>
    </row>
    <row r="121">
      <c r="A121" s="7"/>
      <c r="B121" s="7" t="s">
        <v>185</v>
      </c>
      <c r="C121" s="7" t="s">
        <v>1257</v>
      </c>
      <c r="D121" s="7" t="s">
        <v>801</v>
      </c>
    </row>
    <row r="122">
      <c r="A122" s="7"/>
      <c r="B122" s="7" t="s">
        <v>195</v>
      </c>
      <c r="C122" s="7" t="s">
        <v>1248</v>
      </c>
      <c r="D122" s="7" t="s">
        <v>1175</v>
      </c>
    </row>
    <row r="123">
      <c r="A123" s="7"/>
      <c r="B123" s="7" t="s">
        <v>195</v>
      </c>
      <c r="C123" s="7" t="s">
        <v>1248</v>
      </c>
      <c r="D123" s="7" t="s">
        <v>1262</v>
      </c>
    </row>
    <row r="124">
      <c r="A124" s="7"/>
      <c r="B124" s="7" t="s">
        <v>195</v>
      </c>
      <c r="C124" s="7" t="s">
        <v>1173</v>
      </c>
      <c r="D124" s="7" t="s">
        <v>1263</v>
      </c>
    </row>
    <row r="125">
      <c r="A125" s="7"/>
      <c r="B125" s="7" t="s">
        <v>195</v>
      </c>
      <c r="C125" s="7" t="s">
        <v>1264</v>
      </c>
      <c r="D125" s="7" t="s">
        <v>1265</v>
      </c>
    </row>
    <row r="126">
      <c r="A126" s="7"/>
      <c r="B126" s="7" t="s">
        <v>195</v>
      </c>
      <c r="C126" s="7" t="s">
        <v>1252</v>
      </c>
      <c r="D126" s="7" t="s">
        <v>1266</v>
      </c>
    </row>
    <row r="127">
      <c r="A127" s="7"/>
      <c r="B127" s="7" t="s">
        <v>195</v>
      </c>
      <c r="C127" s="7" t="s">
        <v>1257</v>
      </c>
      <c r="D127" s="7" t="s">
        <v>801</v>
      </c>
    </row>
    <row r="128">
      <c r="A128" s="7"/>
      <c r="B128" s="7" t="s">
        <v>215</v>
      </c>
      <c r="C128" s="7" t="s">
        <v>1248</v>
      </c>
      <c r="D128" s="7" t="s">
        <v>1175</v>
      </c>
    </row>
    <row r="129">
      <c r="A129" s="7"/>
      <c r="B129" s="7" t="s">
        <v>215</v>
      </c>
      <c r="C129" s="7" t="s">
        <v>1248</v>
      </c>
      <c r="D129" s="7" t="s">
        <v>1267</v>
      </c>
    </row>
    <row r="130">
      <c r="A130" s="7"/>
      <c r="B130" s="7" t="s">
        <v>215</v>
      </c>
      <c r="C130" s="7" t="s">
        <v>1264</v>
      </c>
      <c r="D130" s="7" t="s">
        <v>1268</v>
      </c>
    </row>
    <row r="131">
      <c r="A131" s="7"/>
      <c r="B131" s="7" t="s">
        <v>215</v>
      </c>
      <c r="C131" s="7" t="s">
        <v>1269</v>
      </c>
      <c r="D131" s="7" t="s">
        <v>1125</v>
      </c>
    </row>
    <row r="132">
      <c r="A132" s="7"/>
      <c r="B132" s="7" t="s">
        <v>215</v>
      </c>
      <c r="C132" s="7" t="s">
        <v>1257</v>
      </c>
      <c r="D132" s="7" t="s">
        <v>801</v>
      </c>
    </row>
    <row r="133">
      <c r="A133" s="7"/>
      <c r="B133" s="7" t="s">
        <v>219</v>
      </c>
      <c r="C133" s="7" t="s">
        <v>1270</v>
      </c>
      <c r="D133" s="7" t="s">
        <v>1271</v>
      </c>
    </row>
    <row r="134">
      <c r="A134" s="7"/>
      <c r="B134" s="7" t="s">
        <v>219</v>
      </c>
      <c r="C134" s="7" t="s">
        <v>1258</v>
      </c>
      <c r="D134" s="7" t="s">
        <v>1272</v>
      </c>
    </row>
    <row r="135">
      <c r="A135" s="7"/>
      <c r="B135" s="7" t="s">
        <v>219</v>
      </c>
      <c r="C135" s="7" t="s">
        <v>1251</v>
      </c>
      <c r="D135" s="7" t="s">
        <v>1125</v>
      </c>
    </row>
    <row r="136">
      <c r="A136" s="7"/>
      <c r="B136" s="7" t="s">
        <v>219</v>
      </c>
      <c r="C136" s="7" t="s">
        <v>1200</v>
      </c>
      <c r="D136" s="7" t="s">
        <v>1125</v>
      </c>
    </row>
    <row r="137">
      <c r="A137" s="7"/>
      <c r="B137" s="7" t="s">
        <v>219</v>
      </c>
      <c r="C137" s="7" t="s">
        <v>1273</v>
      </c>
      <c r="D137" s="7" t="s">
        <v>1206</v>
      </c>
    </row>
    <row r="138">
      <c r="A138" s="7"/>
      <c r="B138" s="7" t="s">
        <v>219</v>
      </c>
      <c r="C138" s="7" t="s">
        <v>1264</v>
      </c>
      <c r="D138" s="7" t="s">
        <v>1274</v>
      </c>
    </row>
    <row r="139">
      <c r="A139" s="7"/>
      <c r="B139" s="7" t="s">
        <v>219</v>
      </c>
      <c r="C139" s="7" t="s">
        <v>1275</v>
      </c>
      <c r="D139" s="7" t="s">
        <v>1276</v>
      </c>
    </row>
    <row r="140">
      <c r="A140" s="7"/>
      <c r="B140" s="7" t="s">
        <v>227</v>
      </c>
      <c r="C140" s="7" t="s">
        <v>1277</v>
      </c>
      <c r="D140" s="7" t="s">
        <v>1245</v>
      </c>
    </row>
    <row r="141">
      <c r="A141" s="7"/>
      <c r="B141" s="7" t="s">
        <v>227</v>
      </c>
      <c r="C141" s="7" t="s">
        <v>1278</v>
      </c>
      <c r="D141" s="7" t="s">
        <v>1125</v>
      </c>
    </row>
    <row r="142">
      <c r="A142" s="7"/>
      <c r="B142" s="7" t="s">
        <v>227</v>
      </c>
      <c r="C142" s="7" t="s">
        <v>1279</v>
      </c>
      <c r="D142" s="7" t="s">
        <v>1266</v>
      </c>
    </row>
    <row r="143">
      <c r="A143" s="7"/>
      <c r="B143" s="7" t="s">
        <v>227</v>
      </c>
      <c r="C143" s="7" t="s">
        <v>1280</v>
      </c>
      <c r="D143" s="7" t="s">
        <v>1245</v>
      </c>
    </row>
    <row r="144">
      <c r="A144" s="7"/>
      <c r="B144" s="7" t="s">
        <v>237</v>
      </c>
      <c r="C144" s="7" t="s">
        <v>1248</v>
      </c>
      <c r="D144" s="7" t="s">
        <v>1254</v>
      </c>
    </row>
    <row r="145">
      <c r="A145" s="7"/>
      <c r="B145" s="7" t="s">
        <v>237</v>
      </c>
      <c r="C145" s="7" t="s">
        <v>1248</v>
      </c>
      <c r="D145" s="7" t="s">
        <v>16</v>
      </c>
    </row>
    <row r="146">
      <c r="A146" s="7"/>
      <c r="B146" s="7" t="s">
        <v>237</v>
      </c>
      <c r="C146" s="7" t="s">
        <v>1264</v>
      </c>
      <c r="D146" s="7" t="s">
        <v>1281</v>
      </c>
    </row>
    <row r="147">
      <c r="A147" s="7"/>
      <c r="B147" s="7" t="s">
        <v>152</v>
      </c>
      <c r="C147" s="7" t="s">
        <v>1200</v>
      </c>
      <c r="D147" s="7" t="s">
        <v>1282</v>
      </c>
    </row>
    <row r="148">
      <c r="A148" s="7"/>
      <c r="B148" s="7" t="s">
        <v>1262</v>
      </c>
      <c r="C148" s="7" t="s">
        <v>1200</v>
      </c>
      <c r="D148" s="7" t="s">
        <v>1263</v>
      </c>
    </row>
    <row r="149">
      <c r="A149" s="7"/>
      <c r="B149" s="7" t="s">
        <v>1262</v>
      </c>
      <c r="C149" s="7" t="s">
        <v>1207</v>
      </c>
      <c r="D149" s="7" t="s">
        <v>1175</v>
      </c>
    </row>
    <row r="150">
      <c r="A150" s="7"/>
      <c r="B150" s="7" t="s">
        <v>1262</v>
      </c>
      <c r="C150" s="7" t="s">
        <v>1264</v>
      </c>
      <c r="D150" s="7" t="s">
        <v>1283</v>
      </c>
    </row>
    <row r="151">
      <c r="A151" s="7"/>
      <c r="B151" s="7" t="s">
        <v>1267</v>
      </c>
      <c r="C151" s="7" t="s">
        <v>1284</v>
      </c>
      <c r="D151" s="7" t="s">
        <v>1285</v>
      </c>
    </row>
    <row r="152">
      <c r="A152" s="7"/>
      <c r="B152" s="7" t="s">
        <v>1267</v>
      </c>
      <c r="C152" s="7" t="s">
        <v>1207</v>
      </c>
      <c r="D152" s="7" t="s">
        <v>1175</v>
      </c>
    </row>
    <row r="153">
      <c r="A153" s="7"/>
      <c r="B153" s="7" t="s">
        <v>1267</v>
      </c>
      <c r="C153" s="7" t="s">
        <v>1264</v>
      </c>
      <c r="D153" s="7" t="s">
        <v>1283</v>
      </c>
    </row>
    <row r="154">
      <c r="A154" s="7"/>
    </row>
    <row r="155">
      <c r="A155" s="7"/>
    </row>
    <row r="156">
      <c r="A156" s="7"/>
      <c r="B156" s="7" t="s">
        <v>1286</v>
      </c>
      <c r="C156" s="7" t="s">
        <v>1200</v>
      </c>
      <c r="D156" s="7" t="s">
        <v>1254</v>
      </c>
    </row>
    <row r="157">
      <c r="A157" s="7"/>
      <c r="B157" s="7" t="s">
        <v>1286</v>
      </c>
      <c r="C157" s="7" t="s">
        <v>1207</v>
      </c>
      <c r="D157" s="7" t="s">
        <v>1175</v>
      </c>
    </row>
    <row r="158">
      <c r="A158" s="7"/>
      <c r="B158" s="7" t="s">
        <v>1286</v>
      </c>
      <c r="C158" s="7" t="s">
        <v>1264</v>
      </c>
      <c r="D158" s="7" t="s">
        <v>1283</v>
      </c>
    </row>
    <row r="159">
      <c r="A159" s="7"/>
      <c r="B159" s="7" t="s">
        <v>1287</v>
      </c>
      <c r="C159" s="7" t="s">
        <v>1200</v>
      </c>
      <c r="D159" s="7" t="s">
        <v>1266</v>
      </c>
    </row>
    <row r="160">
      <c r="A160" s="7"/>
      <c r="B160" s="7" t="s">
        <v>1287</v>
      </c>
      <c r="C160" s="7" t="s">
        <v>1207</v>
      </c>
      <c r="D160" s="7" t="s">
        <v>1175</v>
      </c>
    </row>
    <row r="161">
      <c r="A161" s="7"/>
      <c r="B161" s="7" t="s">
        <v>1287</v>
      </c>
      <c r="C161" s="7" t="s">
        <v>1207</v>
      </c>
      <c r="D161" s="7" t="s">
        <v>1288</v>
      </c>
    </row>
    <row r="162">
      <c r="A162" s="7"/>
      <c r="B162" s="7" t="s">
        <v>1287</v>
      </c>
      <c r="C162" s="7" t="s">
        <v>1289</v>
      </c>
      <c r="D162" s="7" t="s">
        <v>1276</v>
      </c>
    </row>
    <row r="163">
      <c r="A163" s="7"/>
      <c r="B163" s="7" t="s">
        <v>1290</v>
      </c>
      <c r="C163" s="7" t="s">
        <v>1207</v>
      </c>
      <c r="D163" s="7" t="s">
        <v>1175</v>
      </c>
    </row>
    <row r="164">
      <c r="A164" s="7"/>
      <c r="B164" s="7" t="s">
        <v>1290</v>
      </c>
      <c r="C164" s="7" t="s">
        <v>1273</v>
      </c>
      <c r="D164" s="7" t="s">
        <v>1206</v>
      </c>
    </row>
    <row r="165">
      <c r="A165" s="7"/>
      <c r="B165" s="7" t="s">
        <v>1249</v>
      </c>
      <c r="C165" s="7" t="s">
        <v>1207</v>
      </c>
      <c r="D165" s="7" t="s">
        <v>1167</v>
      </c>
    </row>
    <row r="166">
      <c r="A166" s="7"/>
      <c r="B166" s="7" t="s">
        <v>1167</v>
      </c>
      <c r="C166" s="7" t="s">
        <v>1291</v>
      </c>
      <c r="D166" s="7" t="s">
        <v>1175</v>
      </c>
    </row>
    <row r="167">
      <c r="A167" s="7"/>
      <c r="B167" s="7" t="s">
        <v>1175</v>
      </c>
      <c r="C167" s="7" t="s">
        <v>1292</v>
      </c>
      <c r="D167" s="7" t="s">
        <v>1293</v>
      </c>
    </row>
    <row r="168">
      <c r="A168" s="7"/>
      <c r="B168" s="7" t="s">
        <v>1175</v>
      </c>
      <c r="C168" s="7" t="s">
        <v>1294</v>
      </c>
      <c r="D168" s="7" t="s">
        <v>801</v>
      </c>
    </row>
    <row r="169">
      <c r="A169" s="7"/>
      <c r="B169" s="7" t="s">
        <v>1175</v>
      </c>
      <c r="C169" s="7" t="s">
        <v>1295</v>
      </c>
      <c r="D169" s="7" t="s">
        <v>1254</v>
      </c>
    </row>
    <row r="170">
      <c r="A170" s="7"/>
      <c r="B170" s="7" t="s">
        <v>1175</v>
      </c>
      <c r="C170" s="7" t="s">
        <v>1264</v>
      </c>
      <c r="D170" s="7" t="s">
        <v>1283</v>
      </c>
    </row>
    <row r="171">
      <c r="A171" s="7"/>
      <c r="B171" s="7" t="s">
        <v>1175</v>
      </c>
      <c r="C171" s="7" t="s">
        <v>1296</v>
      </c>
      <c r="D171" s="7" t="s">
        <v>1297</v>
      </c>
    </row>
    <row r="172">
      <c r="A172" s="7"/>
      <c r="B172" s="7" t="s">
        <v>1175</v>
      </c>
      <c r="C172" s="7" t="s">
        <v>1296</v>
      </c>
      <c r="D172" s="7" t="s">
        <v>1298</v>
      </c>
    </row>
    <row r="173">
      <c r="A173" s="7"/>
      <c r="B173" s="7" t="s">
        <v>1175</v>
      </c>
      <c r="C173" s="7" t="s">
        <v>1296</v>
      </c>
      <c r="D173" s="7" t="s">
        <v>1299</v>
      </c>
    </row>
    <row r="174">
      <c r="A174" s="7"/>
      <c r="B174" s="7" t="s">
        <v>1175</v>
      </c>
      <c r="C174" s="7" t="s">
        <v>1296</v>
      </c>
      <c r="D174" s="7" t="s">
        <v>1300</v>
      </c>
    </row>
    <row r="175">
      <c r="A175" s="7"/>
      <c r="B175" s="7" t="s">
        <v>1175</v>
      </c>
      <c r="C175" s="7" t="s">
        <v>1296</v>
      </c>
      <c r="D175" s="7" t="s">
        <v>1301</v>
      </c>
    </row>
    <row r="176">
      <c r="A176" s="7"/>
      <c r="B176" s="7" t="s">
        <v>1180</v>
      </c>
      <c r="C176" s="7" t="s">
        <v>1302</v>
      </c>
      <c r="D176" s="7" t="s">
        <v>1178</v>
      </c>
    </row>
    <row r="177">
      <c r="A177" s="7"/>
      <c r="B177" s="7" t="s">
        <v>1254</v>
      </c>
      <c r="C177" s="7" t="s">
        <v>1303</v>
      </c>
      <c r="D177" s="7" t="s">
        <v>1304</v>
      </c>
    </row>
    <row r="178">
      <c r="A178" s="7"/>
      <c r="B178" s="7" t="s">
        <v>1254</v>
      </c>
      <c r="C178" s="7" t="s">
        <v>1264</v>
      </c>
      <c r="D178" s="7" t="s">
        <v>1283</v>
      </c>
    </row>
    <row r="179">
      <c r="A179" s="7"/>
      <c r="B179" s="7" t="s">
        <v>1254</v>
      </c>
      <c r="C179" s="7" t="s">
        <v>1289</v>
      </c>
      <c r="D179" s="7" t="s">
        <v>1276</v>
      </c>
    </row>
    <row r="180">
      <c r="A180" s="7"/>
      <c r="B180" s="7" t="s">
        <v>1305</v>
      </c>
      <c r="C180" s="7" t="s">
        <v>1306</v>
      </c>
      <c r="D180" s="7" t="s">
        <v>801</v>
      </c>
    </row>
    <row r="181">
      <c r="A181" s="7"/>
      <c r="B181" s="7" t="s">
        <v>1305</v>
      </c>
      <c r="C181" s="7" t="s">
        <v>1307</v>
      </c>
      <c r="D181" s="7" t="s">
        <v>1254</v>
      </c>
    </row>
    <row r="182">
      <c r="A182" s="7"/>
      <c r="B182" s="7" t="s">
        <v>1305</v>
      </c>
      <c r="C182" s="7" t="s">
        <v>1307</v>
      </c>
      <c r="D182" s="7" t="s">
        <v>1266</v>
      </c>
    </row>
    <row r="183">
      <c r="A183" s="7"/>
      <c r="B183" s="7" t="s">
        <v>1305</v>
      </c>
      <c r="C183" s="7" t="s">
        <v>1207</v>
      </c>
      <c r="D183" s="7" t="s">
        <v>1206</v>
      </c>
    </row>
    <row r="184">
      <c r="A184" s="7"/>
      <c r="B184" s="7" t="s">
        <v>1125</v>
      </c>
      <c r="C184" s="7" t="s">
        <v>1308</v>
      </c>
      <c r="D184" s="7" t="s">
        <v>801</v>
      </c>
    </row>
    <row r="185">
      <c r="A185" s="7"/>
      <c r="B185" s="7" t="s">
        <v>1125</v>
      </c>
      <c r="C185" s="7" t="s">
        <v>1309</v>
      </c>
      <c r="D185" s="7" t="s">
        <v>1310</v>
      </c>
    </row>
    <row r="186">
      <c r="A186" s="7"/>
      <c r="B186" s="7" t="s">
        <v>1266</v>
      </c>
      <c r="C186" s="7" t="s">
        <v>1311</v>
      </c>
      <c r="D186" s="7" t="s">
        <v>1175</v>
      </c>
    </row>
    <row r="187">
      <c r="A187" s="7"/>
      <c r="B187" s="7" t="s">
        <v>1266</v>
      </c>
      <c r="C187" s="7" t="s">
        <v>1312</v>
      </c>
      <c r="D187" s="7" t="s">
        <v>1175</v>
      </c>
    </row>
    <row r="188">
      <c r="A188" s="7"/>
      <c r="B188" s="7" t="s">
        <v>1266</v>
      </c>
      <c r="C188" s="7" t="s">
        <v>1313</v>
      </c>
      <c r="D188" s="7" t="s">
        <v>1314</v>
      </c>
    </row>
    <row r="189">
      <c r="A189" s="7"/>
      <c r="B189" s="7" t="s">
        <v>1266</v>
      </c>
      <c r="C189" s="7" t="s">
        <v>1312</v>
      </c>
      <c r="D189" s="7" t="s">
        <v>1263</v>
      </c>
    </row>
    <row r="190">
      <c r="A190" s="7"/>
      <c r="B190" s="7" t="s">
        <v>1266</v>
      </c>
      <c r="C190" s="7" t="s">
        <v>1312</v>
      </c>
      <c r="D190" s="7" t="s">
        <v>1305</v>
      </c>
    </row>
    <row r="191">
      <c r="A191" s="7"/>
      <c r="B191" s="7" t="s">
        <v>1266</v>
      </c>
      <c r="C191" s="7" t="s">
        <v>1289</v>
      </c>
      <c r="D191" s="7" t="s">
        <v>1276</v>
      </c>
    </row>
    <row r="192">
      <c r="A192" s="7"/>
      <c r="B192" s="7" t="s">
        <v>1263</v>
      </c>
      <c r="C192" s="7" t="s">
        <v>1308</v>
      </c>
      <c r="D192" s="7" t="s">
        <v>801</v>
      </c>
    </row>
    <row r="193">
      <c r="A193" s="7"/>
      <c r="B193" s="7" t="s">
        <v>1285</v>
      </c>
      <c r="C193" s="7" t="s">
        <v>1308</v>
      </c>
      <c r="D193" s="7" t="s">
        <v>801</v>
      </c>
    </row>
    <row r="194">
      <c r="A194" s="7"/>
      <c r="B194" s="7" t="s">
        <v>1206</v>
      </c>
      <c r="C194" s="7" t="s">
        <v>1315</v>
      </c>
      <c r="D194" s="7" t="s">
        <v>801</v>
      </c>
    </row>
    <row r="195">
      <c r="A195" s="7"/>
      <c r="B195" s="7" t="s">
        <v>1206</v>
      </c>
      <c r="C195" s="7" t="s">
        <v>1316</v>
      </c>
      <c r="D195" s="7" t="s">
        <v>1266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6" t="s">
        <v>0</v>
      </c>
      <c r="B1" s="157" t="s">
        <v>1122</v>
      </c>
      <c r="C1" s="157" t="s">
        <v>1123</v>
      </c>
      <c r="D1" s="157" t="s">
        <v>1124</v>
      </c>
    </row>
    <row r="2">
      <c r="A2" s="155" t="s">
        <v>13</v>
      </c>
      <c r="B2" s="142" t="s">
        <v>1125</v>
      </c>
      <c r="C2" s="142" t="s">
        <v>1317</v>
      </c>
      <c r="D2" s="139" t="s">
        <v>1318</v>
      </c>
    </row>
    <row r="3">
      <c r="A3" s="155" t="s">
        <v>13</v>
      </c>
      <c r="B3" s="142" t="s">
        <v>1125</v>
      </c>
      <c r="C3" s="142" t="s">
        <v>1317</v>
      </c>
      <c r="D3" s="139" t="s">
        <v>1319</v>
      </c>
    </row>
    <row r="4">
      <c r="A4" s="155" t="s">
        <v>20</v>
      </c>
      <c r="B4" s="142" t="s">
        <v>1125</v>
      </c>
      <c r="C4" s="142" t="s">
        <v>1320</v>
      </c>
      <c r="D4" s="155" t="s">
        <v>1321</v>
      </c>
    </row>
    <row r="5">
      <c r="A5" s="155" t="s">
        <v>20</v>
      </c>
      <c r="B5" s="142" t="s">
        <v>1125</v>
      </c>
      <c r="C5" s="142" t="s">
        <v>1177</v>
      </c>
      <c r="D5" s="155" t="s">
        <v>1322</v>
      </c>
    </row>
    <row r="6">
      <c r="A6" s="155" t="s">
        <v>20</v>
      </c>
      <c r="B6" s="142" t="s">
        <v>1125</v>
      </c>
      <c r="C6" s="142" t="s">
        <v>1323</v>
      </c>
      <c r="D6" s="142" t="s">
        <v>1324</v>
      </c>
    </row>
    <row r="7">
      <c r="A7" s="155" t="s">
        <v>20</v>
      </c>
      <c r="B7" s="142" t="s">
        <v>16</v>
      </c>
      <c r="C7" s="142" t="s">
        <v>1325</v>
      </c>
      <c r="D7" s="142" t="s">
        <v>1324</v>
      </c>
    </row>
    <row r="8">
      <c r="A8" s="155" t="s">
        <v>20</v>
      </c>
      <c r="B8" s="142" t="s">
        <v>16</v>
      </c>
      <c r="C8" s="142" t="s">
        <v>1325</v>
      </c>
      <c r="D8" s="142" t="s">
        <v>1326</v>
      </c>
    </row>
    <row r="9">
      <c r="A9" s="155" t="s">
        <v>20</v>
      </c>
      <c r="B9" s="142" t="s">
        <v>16</v>
      </c>
      <c r="C9" s="142" t="s">
        <v>1327</v>
      </c>
      <c r="D9" s="142" t="s">
        <v>1328</v>
      </c>
    </row>
    <row r="10">
      <c r="A10" s="155" t="s">
        <v>22</v>
      </c>
      <c r="B10" s="155" t="s">
        <v>1133</v>
      </c>
      <c r="C10" s="155" t="s">
        <v>1329</v>
      </c>
      <c r="D10" s="155" t="s">
        <v>1330</v>
      </c>
    </row>
    <row r="11">
      <c r="A11" s="155" t="s">
        <v>22</v>
      </c>
      <c r="B11" s="139" t="s">
        <v>633</v>
      </c>
      <c r="C11" s="139" t="s">
        <v>1329</v>
      </c>
      <c r="D11" s="139" t="s">
        <v>1331</v>
      </c>
    </row>
    <row r="12">
      <c r="A12" s="7" t="s">
        <v>28</v>
      </c>
      <c r="B12" s="139" t="s">
        <v>1152</v>
      </c>
      <c r="C12" s="139" t="s">
        <v>1332</v>
      </c>
      <c r="D12" s="139" t="s">
        <v>1333</v>
      </c>
    </row>
    <row r="13">
      <c r="A13" s="7" t="s">
        <v>31</v>
      </c>
      <c r="B13" s="139" t="s">
        <v>633</v>
      </c>
      <c r="C13" s="139" t="s">
        <v>1317</v>
      </c>
      <c r="D13" s="139" t="s">
        <v>1334</v>
      </c>
    </row>
    <row r="14">
      <c r="A14" s="7" t="s">
        <v>31</v>
      </c>
      <c r="B14" s="139" t="s">
        <v>633</v>
      </c>
      <c r="C14" s="139" t="s">
        <v>1329</v>
      </c>
      <c r="D14" s="139" t="s">
        <v>1335</v>
      </c>
    </row>
    <row r="15">
      <c r="A15" s="139" t="s">
        <v>35</v>
      </c>
      <c r="B15" s="139" t="s">
        <v>1167</v>
      </c>
      <c r="C15" s="155" t="s">
        <v>1329</v>
      </c>
      <c r="D15" s="139" t="s">
        <v>1336</v>
      </c>
    </row>
    <row r="16">
      <c r="A16" s="139" t="s">
        <v>35</v>
      </c>
      <c r="B16" s="139" t="s">
        <v>1203</v>
      </c>
      <c r="C16" s="139" t="s">
        <v>1329</v>
      </c>
      <c r="D16" s="139" t="s">
        <v>1337</v>
      </c>
    </row>
    <row r="17">
      <c r="A17" s="139" t="s">
        <v>35</v>
      </c>
      <c r="B17" s="139" t="s">
        <v>1203</v>
      </c>
      <c r="C17" s="139" t="s">
        <v>1325</v>
      </c>
      <c r="D17" s="139" t="s">
        <v>1338</v>
      </c>
    </row>
    <row r="18">
      <c r="A18" s="139" t="s">
        <v>35</v>
      </c>
      <c r="B18" s="139" t="s">
        <v>1339</v>
      </c>
      <c r="C18" s="139" t="s">
        <v>1340</v>
      </c>
      <c r="D18" s="139" t="s">
        <v>1341</v>
      </c>
    </row>
    <row r="19">
      <c r="A19" s="155" t="s">
        <v>37</v>
      </c>
      <c r="B19" s="139" t="s">
        <v>16</v>
      </c>
      <c r="C19" s="139" t="s">
        <v>1325</v>
      </c>
      <c r="D19" s="139" t="s">
        <v>1326</v>
      </c>
    </row>
    <row r="20">
      <c r="A20" s="155" t="s">
        <v>37</v>
      </c>
      <c r="B20" s="139" t="s">
        <v>16</v>
      </c>
      <c r="C20" s="139" t="s">
        <v>1327</v>
      </c>
      <c r="D20" s="139" t="s">
        <v>1328</v>
      </c>
    </row>
    <row r="21">
      <c r="A21" s="155" t="s">
        <v>37</v>
      </c>
      <c r="B21" s="139" t="s">
        <v>16</v>
      </c>
      <c r="C21" s="139" t="s">
        <v>1342</v>
      </c>
      <c r="D21" s="139" t="s">
        <v>1343</v>
      </c>
    </row>
    <row r="22">
      <c r="A22" s="155" t="s">
        <v>37</v>
      </c>
      <c r="B22" s="139" t="s">
        <v>16</v>
      </c>
      <c r="C22" s="139" t="s">
        <v>1344</v>
      </c>
      <c r="D22" s="139" t="s">
        <v>1345</v>
      </c>
    </row>
    <row r="23">
      <c r="A23" s="155" t="s">
        <v>37</v>
      </c>
      <c r="B23" s="139" t="s">
        <v>1346</v>
      </c>
      <c r="C23" s="139" t="s">
        <v>1347</v>
      </c>
      <c r="D23" s="139" t="s">
        <v>1334</v>
      </c>
    </row>
    <row r="24">
      <c r="A24" s="155" t="s">
        <v>37</v>
      </c>
      <c r="B24" s="139" t="s">
        <v>1346</v>
      </c>
      <c r="C24" s="139" t="s">
        <v>1325</v>
      </c>
      <c r="D24" s="139" t="s">
        <v>1348</v>
      </c>
    </row>
    <row r="25">
      <c r="A25" s="155" t="s">
        <v>39</v>
      </c>
      <c r="B25" s="139" t="s">
        <v>1349</v>
      </c>
      <c r="C25" s="139" t="s">
        <v>1350</v>
      </c>
      <c r="D25" s="139" t="s">
        <v>1351</v>
      </c>
    </row>
    <row r="26">
      <c r="A26" s="155" t="s">
        <v>39</v>
      </c>
      <c r="B26" s="139" t="s">
        <v>1349</v>
      </c>
      <c r="C26" s="139" t="s">
        <v>1352</v>
      </c>
      <c r="D26" s="139" t="s">
        <v>1353</v>
      </c>
    </row>
    <row r="27">
      <c r="A27" s="155" t="s">
        <v>39</v>
      </c>
      <c r="B27" s="139" t="s">
        <v>1349</v>
      </c>
      <c r="C27" s="139" t="s">
        <v>1354</v>
      </c>
      <c r="D27" s="139" t="s">
        <v>1355</v>
      </c>
    </row>
    <row r="28">
      <c r="A28" s="155" t="s">
        <v>39</v>
      </c>
      <c r="B28" s="139" t="s">
        <v>16</v>
      </c>
      <c r="C28" s="139" t="s">
        <v>1329</v>
      </c>
      <c r="D28" s="139" t="s">
        <v>1356</v>
      </c>
    </row>
    <row r="29">
      <c r="A29" s="155" t="s">
        <v>43</v>
      </c>
      <c r="B29" s="139" t="s">
        <v>1125</v>
      </c>
      <c r="C29" s="139" t="s">
        <v>1357</v>
      </c>
      <c r="D29" s="139" t="s">
        <v>801</v>
      </c>
    </row>
    <row r="30">
      <c r="A30" s="155" t="s">
        <v>43</v>
      </c>
      <c r="B30" s="139" t="s">
        <v>1125</v>
      </c>
      <c r="C30" s="139" t="s">
        <v>1358</v>
      </c>
      <c r="D30" s="139" t="s">
        <v>1359</v>
      </c>
    </row>
    <row r="31">
      <c r="A31" s="155" t="s">
        <v>46</v>
      </c>
      <c r="B31" s="139" t="s">
        <v>1125</v>
      </c>
      <c r="C31" s="139" t="s">
        <v>1329</v>
      </c>
      <c r="D31" s="139" t="s">
        <v>46</v>
      </c>
    </row>
    <row r="32">
      <c r="A32" s="155" t="s">
        <v>51</v>
      </c>
      <c r="B32" s="139" t="s">
        <v>633</v>
      </c>
      <c r="C32" s="139" t="s">
        <v>1329</v>
      </c>
      <c r="D32" s="139" t="s">
        <v>1360</v>
      </c>
    </row>
    <row r="33">
      <c r="A33" s="155" t="s">
        <v>55</v>
      </c>
      <c r="B33" s="155" t="s">
        <v>1165</v>
      </c>
      <c r="C33" s="155" t="s">
        <v>1361</v>
      </c>
      <c r="D33" s="155" t="s">
        <v>1362</v>
      </c>
    </row>
    <row r="34">
      <c r="A34" s="155" t="s">
        <v>64</v>
      </c>
      <c r="B34" s="139" t="s">
        <v>1125</v>
      </c>
      <c r="C34" s="139" t="s">
        <v>1317</v>
      </c>
      <c r="D34" s="139" t="s">
        <v>1363</v>
      </c>
    </row>
    <row r="35">
      <c r="A35" s="7" t="s">
        <v>92</v>
      </c>
      <c r="B35" s="139" t="s">
        <v>1175</v>
      </c>
      <c r="C35" s="139" t="s">
        <v>1364</v>
      </c>
      <c r="D35" s="139" t="s">
        <v>1055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3" max="3" width="17.63"/>
    <col customWidth="1" min="4" max="4" width="23.25"/>
  </cols>
  <sheetData>
    <row r="1">
      <c r="A1" s="156" t="s">
        <v>0</v>
      </c>
      <c r="B1" s="157" t="s">
        <v>1122</v>
      </c>
      <c r="C1" s="157" t="s">
        <v>1123</v>
      </c>
      <c r="D1" s="157" t="s">
        <v>1124</v>
      </c>
    </row>
    <row r="2" hidden="1">
      <c r="A2" s="155" t="s">
        <v>13</v>
      </c>
      <c r="B2" s="142" t="s">
        <v>1125</v>
      </c>
      <c r="C2" s="142" t="s">
        <v>1258</v>
      </c>
      <c r="D2" s="142" t="s">
        <v>1365</v>
      </c>
    </row>
    <row r="3" hidden="1">
      <c r="A3" s="155" t="s">
        <v>13</v>
      </c>
      <c r="B3" s="142" t="s">
        <v>1125</v>
      </c>
      <c r="C3" s="142" t="s">
        <v>1258</v>
      </c>
      <c r="D3" s="142" t="s">
        <v>1366</v>
      </c>
    </row>
    <row r="4" hidden="1">
      <c r="A4" s="155" t="s">
        <v>13</v>
      </c>
      <c r="B4" s="142" t="s">
        <v>1125</v>
      </c>
      <c r="C4" s="142" t="s">
        <v>1258</v>
      </c>
      <c r="D4" s="142" t="s">
        <v>1367</v>
      </c>
    </row>
    <row r="5" hidden="1">
      <c r="A5" s="155" t="s">
        <v>13</v>
      </c>
      <c r="B5" s="142" t="s">
        <v>1125</v>
      </c>
      <c r="C5" s="142" t="s">
        <v>1258</v>
      </c>
      <c r="D5" s="142" t="s">
        <v>1368</v>
      </c>
    </row>
    <row r="6" hidden="1">
      <c r="A6" s="155" t="s">
        <v>13</v>
      </c>
      <c r="B6" s="142" t="s">
        <v>1125</v>
      </c>
      <c r="C6" s="155" t="s">
        <v>1317</v>
      </c>
      <c r="D6" s="142" t="s">
        <v>1369</v>
      </c>
    </row>
    <row r="7" hidden="1">
      <c r="A7" s="155" t="s">
        <v>13</v>
      </c>
      <c r="B7" s="142" t="s">
        <v>1125</v>
      </c>
      <c r="C7" s="142" t="s">
        <v>1317</v>
      </c>
      <c r="D7" s="142" t="s">
        <v>1370</v>
      </c>
    </row>
    <row r="8" hidden="1">
      <c r="A8" s="155" t="s">
        <v>13</v>
      </c>
      <c r="B8" s="142" t="s">
        <v>1125</v>
      </c>
      <c r="C8" s="142" t="s">
        <v>1258</v>
      </c>
      <c r="D8" s="142" t="s">
        <v>1371</v>
      </c>
    </row>
    <row r="9" hidden="1">
      <c r="A9" s="155" t="s">
        <v>13</v>
      </c>
      <c r="B9" s="142" t="s">
        <v>1125</v>
      </c>
      <c r="C9" s="142" t="s">
        <v>1258</v>
      </c>
      <c r="D9" s="142" t="s">
        <v>1372</v>
      </c>
    </row>
    <row r="10" hidden="1">
      <c r="A10" s="155" t="s">
        <v>13</v>
      </c>
      <c r="B10" s="142" t="s">
        <v>1125</v>
      </c>
      <c r="C10" s="142" t="s">
        <v>1258</v>
      </c>
      <c r="D10" s="142" t="s">
        <v>1373</v>
      </c>
    </row>
    <row r="11" hidden="1">
      <c r="A11" s="155" t="s">
        <v>13</v>
      </c>
      <c r="B11" s="142" t="s">
        <v>1125</v>
      </c>
      <c r="C11" s="142" t="s">
        <v>1258</v>
      </c>
      <c r="D11" s="142" t="s">
        <v>1374</v>
      </c>
    </row>
    <row r="12" hidden="1">
      <c r="A12" s="155" t="s">
        <v>13</v>
      </c>
      <c r="B12" s="142" t="s">
        <v>1125</v>
      </c>
      <c r="C12" s="142" t="s">
        <v>1258</v>
      </c>
      <c r="D12" s="142" t="s">
        <v>1375</v>
      </c>
    </row>
    <row r="13" hidden="1">
      <c r="A13" s="155" t="s">
        <v>64</v>
      </c>
      <c r="B13" s="142" t="s">
        <v>1125</v>
      </c>
      <c r="C13" s="142" t="s">
        <v>1258</v>
      </c>
      <c r="D13" s="142" t="s">
        <v>1366</v>
      </c>
    </row>
    <row r="14" hidden="1">
      <c r="A14" s="155" t="s">
        <v>20</v>
      </c>
      <c r="B14" s="142" t="s">
        <v>16</v>
      </c>
      <c r="C14" s="155" t="s">
        <v>1258</v>
      </c>
      <c r="D14" s="142" t="s">
        <v>1376</v>
      </c>
    </row>
    <row r="15" hidden="1">
      <c r="A15" s="155" t="s">
        <v>20</v>
      </c>
      <c r="B15" s="142" t="s">
        <v>16</v>
      </c>
      <c r="C15" s="155" t="s">
        <v>1258</v>
      </c>
      <c r="D15" s="142" t="s">
        <v>1377</v>
      </c>
    </row>
    <row r="16" hidden="1">
      <c r="A16" s="155" t="s">
        <v>20</v>
      </c>
      <c r="B16" s="142" t="s">
        <v>16</v>
      </c>
      <c r="C16" s="155" t="s">
        <v>1258</v>
      </c>
      <c r="D16" s="142" t="s">
        <v>1378</v>
      </c>
    </row>
    <row r="17" hidden="1">
      <c r="A17" s="155" t="s">
        <v>20</v>
      </c>
      <c r="B17" s="142" t="s">
        <v>16</v>
      </c>
      <c r="C17" s="155" t="s">
        <v>1258</v>
      </c>
      <c r="D17" s="142" t="s">
        <v>1379</v>
      </c>
    </row>
    <row r="18" hidden="1">
      <c r="A18" s="155" t="s">
        <v>20</v>
      </c>
      <c r="B18" s="142" t="s">
        <v>16</v>
      </c>
      <c r="C18" s="155" t="s">
        <v>1317</v>
      </c>
      <c r="D18" s="142" t="s">
        <v>1380</v>
      </c>
    </row>
    <row r="19" hidden="1">
      <c r="A19" s="155" t="s">
        <v>20</v>
      </c>
      <c r="B19" s="142" t="s">
        <v>16</v>
      </c>
      <c r="C19" s="155" t="s">
        <v>1317</v>
      </c>
      <c r="D19" s="142" t="s">
        <v>1381</v>
      </c>
    </row>
    <row r="20" hidden="1">
      <c r="A20" s="155" t="s">
        <v>20</v>
      </c>
      <c r="B20" s="142" t="s">
        <v>16</v>
      </c>
      <c r="C20" s="155" t="s">
        <v>1317</v>
      </c>
      <c r="D20" s="142" t="s">
        <v>1382</v>
      </c>
    </row>
    <row r="21" hidden="1">
      <c r="A21" s="155" t="s">
        <v>20</v>
      </c>
      <c r="B21" s="142" t="s">
        <v>16</v>
      </c>
      <c r="C21" s="155" t="s">
        <v>1317</v>
      </c>
      <c r="D21" s="142" t="s">
        <v>1383</v>
      </c>
    </row>
    <row r="22" hidden="1">
      <c r="A22" s="155" t="s">
        <v>20</v>
      </c>
      <c r="B22" s="142" t="s">
        <v>16</v>
      </c>
      <c r="C22" s="155" t="s">
        <v>1317</v>
      </c>
      <c r="D22" s="142" t="s">
        <v>1384</v>
      </c>
    </row>
    <row r="23" hidden="1">
      <c r="A23" s="155" t="s">
        <v>20</v>
      </c>
      <c r="B23" s="142" t="s">
        <v>16</v>
      </c>
      <c r="C23" s="155" t="s">
        <v>1317</v>
      </c>
      <c r="D23" s="142" t="s">
        <v>1385</v>
      </c>
    </row>
    <row r="24" hidden="1">
      <c r="A24" s="155" t="s">
        <v>20</v>
      </c>
      <c r="B24" s="142" t="s">
        <v>16</v>
      </c>
      <c r="C24" s="155" t="s">
        <v>1317</v>
      </c>
      <c r="D24" s="142" t="s">
        <v>1386</v>
      </c>
    </row>
    <row r="25" hidden="1">
      <c r="A25" s="155" t="s">
        <v>22</v>
      </c>
      <c r="B25" s="142" t="s">
        <v>16</v>
      </c>
      <c r="C25" s="142" t="s">
        <v>1387</v>
      </c>
      <c r="D25" s="142" t="s">
        <v>1388</v>
      </c>
    </row>
    <row r="26" hidden="1">
      <c r="A26" s="155" t="s">
        <v>22</v>
      </c>
      <c r="B26" s="142" t="s">
        <v>16</v>
      </c>
      <c r="C26" s="142" t="s">
        <v>1317</v>
      </c>
      <c r="D26" s="142" t="s">
        <v>1389</v>
      </c>
    </row>
    <row r="27" hidden="1">
      <c r="A27" s="155" t="s">
        <v>22</v>
      </c>
      <c r="B27" s="142" t="s">
        <v>633</v>
      </c>
      <c r="C27" s="142" t="s">
        <v>1390</v>
      </c>
      <c r="D27" s="142" t="s">
        <v>729</v>
      </c>
    </row>
    <row r="28" hidden="1">
      <c r="A28" s="155" t="s">
        <v>22</v>
      </c>
      <c r="B28" s="142" t="s">
        <v>637</v>
      </c>
      <c r="C28" s="142" t="s">
        <v>1391</v>
      </c>
      <c r="D28" s="142" t="s">
        <v>1392</v>
      </c>
    </row>
    <row r="29" hidden="1">
      <c r="A29" s="155" t="s">
        <v>22</v>
      </c>
      <c r="B29" s="142" t="s">
        <v>637</v>
      </c>
      <c r="C29" s="142" t="s">
        <v>1387</v>
      </c>
      <c r="D29" s="142" t="s">
        <v>1393</v>
      </c>
    </row>
    <row r="30" hidden="1">
      <c r="A30" s="155" t="s">
        <v>22</v>
      </c>
      <c r="B30" s="142" t="s">
        <v>1133</v>
      </c>
      <c r="C30" s="142" t="s">
        <v>1387</v>
      </c>
      <c r="D30" s="142" t="s">
        <v>1394</v>
      </c>
    </row>
    <row r="31" hidden="1">
      <c r="A31" s="155" t="s">
        <v>22</v>
      </c>
      <c r="B31" s="142" t="s">
        <v>75</v>
      </c>
      <c r="C31" s="142" t="s">
        <v>1387</v>
      </c>
      <c r="D31" s="142" t="s">
        <v>1395</v>
      </c>
    </row>
    <row r="32" hidden="1">
      <c r="A32" s="155" t="s">
        <v>25</v>
      </c>
      <c r="B32" s="142" t="s">
        <v>16</v>
      </c>
      <c r="C32" s="155" t="s">
        <v>1258</v>
      </c>
      <c r="D32" s="142" t="s">
        <v>1396</v>
      </c>
    </row>
    <row r="33" hidden="1">
      <c r="A33" s="155" t="s">
        <v>25</v>
      </c>
      <c r="B33" s="142" t="s">
        <v>16</v>
      </c>
      <c r="C33" s="142" t="s">
        <v>1397</v>
      </c>
      <c r="D33" s="142" t="s">
        <v>1398</v>
      </c>
    </row>
    <row r="34" hidden="1">
      <c r="A34" s="155" t="s">
        <v>25</v>
      </c>
      <c r="B34" s="142" t="s">
        <v>16</v>
      </c>
      <c r="C34" s="142" t="s">
        <v>1399</v>
      </c>
      <c r="D34" s="142" t="s">
        <v>1400</v>
      </c>
    </row>
    <row r="35" hidden="1">
      <c r="A35" s="155" t="s">
        <v>25</v>
      </c>
      <c r="B35" s="142" t="s">
        <v>16</v>
      </c>
      <c r="C35" s="142" t="s">
        <v>1401</v>
      </c>
      <c r="D35" s="142" t="s">
        <v>1402</v>
      </c>
    </row>
    <row r="36" hidden="1">
      <c r="A36" s="155" t="s">
        <v>25</v>
      </c>
      <c r="B36" s="142" t="s">
        <v>16</v>
      </c>
      <c r="C36" s="155" t="s">
        <v>1403</v>
      </c>
      <c r="D36" s="142" t="s">
        <v>1404</v>
      </c>
    </row>
    <row r="37" hidden="1">
      <c r="A37" s="155" t="s">
        <v>25</v>
      </c>
      <c r="B37" s="142" t="s">
        <v>16</v>
      </c>
      <c r="C37" s="155" t="s">
        <v>1258</v>
      </c>
      <c r="D37" s="142" t="s">
        <v>1405</v>
      </c>
    </row>
    <row r="38" hidden="1">
      <c r="A38" s="155" t="s">
        <v>25</v>
      </c>
      <c r="B38" s="142" t="s">
        <v>16</v>
      </c>
      <c r="C38" s="155" t="s">
        <v>1406</v>
      </c>
      <c r="D38" s="142" t="s">
        <v>1407</v>
      </c>
    </row>
    <row r="39" hidden="1">
      <c r="A39" s="155" t="s">
        <v>25</v>
      </c>
      <c r="B39" s="155" t="s">
        <v>1145</v>
      </c>
      <c r="C39" s="142" t="s">
        <v>1258</v>
      </c>
      <c r="D39" s="142" t="s">
        <v>1408</v>
      </c>
    </row>
    <row r="40" hidden="1">
      <c r="A40" s="155" t="s">
        <v>25</v>
      </c>
      <c r="B40" s="155" t="s">
        <v>1145</v>
      </c>
      <c r="C40" s="142" t="s">
        <v>1258</v>
      </c>
      <c r="D40" s="155" t="s">
        <v>1409</v>
      </c>
    </row>
    <row r="41" hidden="1">
      <c r="A41" s="155" t="s">
        <v>25</v>
      </c>
      <c r="B41" s="155" t="s">
        <v>1145</v>
      </c>
      <c r="C41" s="142" t="s">
        <v>1258</v>
      </c>
      <c r="D41" s="155" t="s">
        <v>1410</v>
      </c>
    </row>
    <row r="42" hidden="1">
      <c r="A42" s="155" t="s">
        <v>25</v>
      </c>
      <c r="B42" s="155" t="s">
        <v>1145</v>
      </c>
      <c r="C42" s="142" t="s">
        <v>1258</v>
      </c>
      <c r="D42" s="155" t="s">
        <v>1411</v>
      </c>
    </row>
    <row r="43" hidden="1">
      <c r="A43" s="155" t="s">
        <v>25</v>
      </c>
      <c r="B43" s="155" t="s">
        <v>1145</v>
      </c>
      <c r="C43" s="142" t="s">
        <v>1258</v>
      </c>
      <c r="D43" s="155" t="s">
        <v>1412</v>
      </c>
    </row>
    <row r="44" hidden="1">
      <c r="A44" s="155" t="s">
        <v>25</v>
      </c>
      <c r="B44" s="142" t="s">
        <v>1145</v>
      </c>
      <c r="C44" s="142" t="s">
        <v>1258</v>
      </c>
      <c r="D44" s="142" t="s">
        <v>1413</v>
      </c>
    </row>
    <row r="45" hidden="1">
      <c r="A45" s="155" t="s">
        <v>25</v>
      </c>
      <c r="B45" s="142" t="s">
        <v>1145</v>
      </c>
      <c r="C45" s="142" t="s">
        <v>1258</v>
      </c>
      <c r="D45" s="142" t="s">
        <v>1414</v>
      </c>
    </row>
    <row r="46" hidden="1">
      <c r="A46" s="7" t="s">
        <v>28</v>
      </c>
      <c r="B46" s="142" t="s">
        <v>1152</v>
      </c>
      <c r="C46" s="155" t="s">
        <v>1258</v>
      </c>
      <c r="D46" s="142" t="s">
        <v>1415</v>
      </c>
    </row>
    <row r="47" hidden="1">
      <c r="A47" s="7" t="s">
        <v>28</v>
      </c>
      <c r="B47" s="142" t="s">
        <v>16</v>
      </c>
      <c r="C47" s="155" t="s">
        <v>1258</v>
      </c>
      <c r="D47" s="142" t="s">
        <v>1416</v>
      </c>
    </row>
    <row r="48" hidden="1">
      <c r="A48" s="7" t="s">
        <v>28</v>
      </c>
      <c r="B48" s="142" t="s">
        <v>16</v>
      </c>
      <c r="C48" s="155" t="s">
        <v>1397</v>
      </c>
      <c r="D48" s="155" t="s">
        <v>1417</v>
      </c>
    </row>
    <row r="49" hidden="1">
      <c r="A49" s="7" t="s">
        <v>28</v>
      </c>
      <c r="B49" s="142" t="s">
        <v>16</v>
      </c>
      <c r="C49" s="155" t="s">
        <v>1317</v>
      </c>
      <c r="D49" s="142" t="s">
        <v>1418</v>
      </c>
    </row>
    <row r="50" hidden="1">
      <c r="A50" s="7" t="s">
        <v>28</v>
      </c>
      <c r="B50" s="142" t="s">
        <v>16</v>
      </c>
      <c r="C50" s="155" t="s">
        <v>1419</v>
      </c>
      <c r="D50" s="142" t="s">
        <v>1420</v>
      </c>
    </row>
    <row r="51" hidden="1">
      <c r="A51" s="7" t="s">
        <v>28</v>
      </c>
      <c r="B51" s="142" t="s">
        <v>16</v>
      </c>
      <c r="C51" s="155" t="s">
        <v>1258</v>
      </c>
      <c r="D51" s="142" t="s">
        <v>1421</v>
      </c>
    </row>
    <row r="52" hidden="1">
      <c r="A52" s="155" t="s">
        <v>31</v>
      </c>
      <c r="B52" s="142" t="s">
        <v>16</v>
      </c>
      <c r="C52" s="155" t="s">
        <v>1258</v>
      </c>
      <c r="D52" s="142" t="s">
        <v>1422</v>
      </c>
    </row>
    <row r="53" hidden="1">
      <c r="A53" s="155" t="s">
        <v>31</v>
      </c>
      <c r="B53" s="142" t="s">
        <v>16</v>
      </c>
      <c r="C53" s="155" t="s">
        <v>1258</v>
      </c>
      <c r="D53" s="142" t="s">
        <v>1405</v>
      </c>
    </row>
    <row r="54" hidden="1">
      <c r="A54" s="155" t="s">
        <v>31</v>
      </c>
      <c r="B54" s="142" t="s">
        <v>16</v>
      </c>
      <c r="C54" s="155" t="s">
        <v>1258</v>
      </c>
      <c r="D54" s="142" t="s">
        <v>1423</v>
      </c>
    </row>
    <row r="55" hidden="1">
      <c r="A55" s="155" t="s">
        <v>31</v>
      </c>
      <c r="B55" s="142" t="s">
        <v>16</v>
      </c>
      <c r="C55" s="155" t="s">
        <v>1317</v>
      </c>
      <c r="D55" s="142" t="s">
        <v>1424</v>
      </c>
    </row>
    <row r="56" hidden="1">
      <c r="A56" s="155" t="s">
        <v>31</v>
      </c>
      <c r="B56" s="142" t="s">
        <v>16</v>
      </c>
      <c r="C56" s="155" t="s">
        <v>1317</v>
      </c>
      <c r="D56" s="142" t="s">
        <v>1425</v>
      </c>
    </row>
    <row r="57" hidden="1">
      <c r="A57" s="155" t="s">
        <v>31</v>
      </c>
      <c r="B57" s="142" t="s">
        <v>16</v>
      </c>
      <c r="C57" s="155" t="s">
        <v>1317</v>
      </c>
      <c r="D57" s="142" t="s">
        <v>1426</v>
      </c>
    </row>
    <row r="58" hidden="1">
      <c r="A58" s="155" t="s">
        <v>31</v>
      </c>
      <c r="B58" s="142" t="s">
        <v>16</v>
      </c>
      <c r="C58" s="155" t="s">
        <v>1317</v>
      </c>
      <c r="D58" s="142" t="s">
        <v>1427</v>
      </c>
    </row>
    <row r="59" hidden="1">
      <c r="A59" s="155" t="s">
        <v>31</v>
      </c>
      <c r="B59" s="142" t="s">
        <v>16</v>
      </c>
      <c r="C59" s="155" t="s">
        <v>1209</v>
      </c>
      <c r="D59" s="142" t="s">
        <v>1428</v>
      </c>
    </row>
    <row r="60" hidden="1">
      <c r="A60" s="155" t="s">
        <v>31</v>
      </c>
      <c r="B60" s="142" t="s">
        <v>1164</v>
      </c>
      <c r="C60" s="155" t="s">
        <v>1258</v>
      </c>
      <c r="D60" s="142" t="s">
        <v>1429</v>
      </c>
    </row>
    <row r="61" hidden="1">
      <c r="A61" s="155" t="s">
        <v>31</v>
      </c>
      <c r="B61" s="142" t="s">
        <v>1164</v>
      </c>
      <c r="C61" s="155" t="s">
        <v>1258</v>
      </c>
      <c r="D61" s="142" t="s">
        <v>1430</v>
      </c>
    </row>
    <row r="62" hidden="1">
      <c r="A62" s="155" t="s">
        <v>31</v>
      </c>
      <c r="B62" s="142" t="s">
        <v>1164</v>
      </c>
      <c r="C62" s="155" t="s">
        <v>1258</v>
      </c>
      <c r="D62" s="142" t="s">
        <v>1431</v>
      </c>
    </row>
    <row r="63" hidden="1">
      <c r="A63" s="155" t="s">
        <v>31</v>
      </c>
      <c r="B63" s="142" t="s">
        <v>1133</v>
      </c>
      <c r="C63" s="155" t="s">
        <v>1258</v>
      </c>
      <c r="D63" s="142" t="s">
        <v>1432</v>
      </c>
    </row>
    <row r="64" hidden="1">
      <c r="A64" s="155" t="s">
        <v>31</v>
      </c>
      <c r="B64" s="142" t="s">
        <v>1133</v>
      </c>
      <c r="C64" s="155" t="s">
        <v>1403</v>
      </c>
      <c r="D64" s="142" t="s">
        <v>1433</v>
      </c>
    </row>
    <row r="65" hidden="1">
      <c r="A65" s="139" t="s">
        <v>35</v>
      </c>
      <c r="B65" s="142" t="s">
        <v>1167</v>
      </c>
      <c r="C65" s="155" t="s">
        <v>1329</v>
      </c>
      <c r="D65" s="142" t="s">
        <v>1434</v>
      </c>
    </row>
    <row r="66" hidden="1">
      <c r="A66" s="139" t="s">
        <v>35</v>
      </c>
      <c r="B66" s="142" t="s">
        <v>1165</v>
      </c>
      <c r="C66" s="155" t="s">
        <v>1317</v>
      </c>
      <c r="D66" s="142" t="s">
        <v>1435</v>
      </c>
    </row>
    <row r="67" hidden="1">
      <c r="A67" s="139" t="s">
        <v>35</v>
      </c>
      <c r="B67" s="142" t="s">
        <v>1165</v>
      </c>
      <c r="C67" s="155" t="s">
        <v>1317</v>
      </c>
      <c r="D67" s="142" t="s">
        <v>1436</v>
      </c>
    </row>
    <row r="68" hidden="1">
      <c r="A68" s="139" t="s">
        <v>35</v>
      </c>
      <c r="B68" s="142" t="s">
        <v>1165</v>
      </c>
      <c r="C68" s="155" t="s">
        <v>1329</v>
      </c>
      <c r="D68" s="142" t="s">
        <v>1437</v>
      </c>
    </row>
    <row r="69" hidden="1">
      <c r="A69" s="139" t="s">
        <v>35</v>
      </c>
      <c r="B69" s="142" t="s">
        <v>1165</v>
      </c>
      <c r="C69" s="155" t="s">
        <v>1329</v>
      </c>
      <c r="D69" s="142" t="s">
        <v>1438</v>
      </c>
    </row>
    <row r="70" hidden="1">
      <c r="A70" s="139" t="s">
        <v>35</v>
      </c>
      <c r="B70" s="142" t="s">
        <v>1165</v>
      </c>
      <c r="C70" s="155" t="s">
        <v>1329</v>
      </c>
      <c r="D70" s="142" t="s">
        <v>1439</v>
      </c>
    </row>
    <row r="71" hidden="1">
      <c r="A71" s="139" t="s">
        <v>35</v>
      </c>
      <c r="B71" s="142" t="s">
        <v>1165</v>
      </c>
      <c r="C71" s="155" t="s">
        <v>1329</v>
      </c>
      <c r="D71" s="142" t="s">
        <v>1440</v>
      </c>
    </row>
    <row r="72" hidden="1">
      <c r="A72" s="139" t="s">
        <v>35</v>
      </c>
      <c r="B72" s="142" t="s">
        <v>1165</v>
      </c>
      <c r="C72" s="155" t="s">
        <v>1317</v>
      </c>
      <c r="D72" s="142" t="s">
        <v>1435</v>
      </c>
    </row>
    <row r="73" hidden="1">
      <c r="A73" s="139" t="s">
        <v>35</v>
      </c>
      <c r="B73" s="142" t="s">
        <v>1165</v>
      </c>
      <c r="C73" s="155" t="s">
        <v>1317</v>
      </c>
      <c r="D73" s="142" t="s">
        <v>1441</v>
      </c>
    </row>
    <row r="74" hidden="1">
      <c r="A74" s="139" t="s">
        <v>35</v>
      </c>
      <c r="B74" s="142" t="s">
        <v>1165</v>
      </c>
      <c r="C74" s="155" t="s">
        <v>1317</v>
      </c>
      <c r="D74" s="142" t="s">
        <v>1442</v>
      </c>
    </row>
    <row r="75" hidden="1">
      <c r="A75" s="139" t="s">
        <v>35</v>
      </c>
      <c r="B75" s="142" t="s">
        <v>1165</v>
      </c>
      <c r="C75" s="155" t="s">
        <v>1258</v>
      </c>
      <c r="D75" s="142" t="s">
        <v>1443</v>
      </c>
    </row>
    <row r="76" hidden="1">
      <c r="A76" s="139" t="s">
        <v>35</v>
      </c>
      <c r="B76" s="142" t="s">
        <v>1167</v>
      </c>
      <c r="C76" s="155" t="s">
        <v>1258</v>
      </c>
      <c r="D76" s="142" t="s">
        <v>1415</v>
      </c>
    </row>
    <row r="77" hidden="1">
      <c r="A77" s="139" t="s">
        <v>35</v>
      </c>
      <c r="B77" s="142" t="s">
        <v>16</v>
      </c>
      <c r="C77" s="155" t="s">
        <v>1258</v>
      </c>
      <c r="D77" s="142" t="s">
        <v>1444</v>
      </c>
    </row>
    <row r="78" hidden="1">
      <c r="A78" s="139" t="s">
        <v>35</v>
      </c>
      <c r="B78" s="142" t="s">
        <v>1165</v>
      </c>
      <c r="C78" s="155" t="s">
        <v>1258</v>
      </c>
      <c r="D78" s="142" t="s">
        <v>1444</v>
      </c>
    </row>
    <row r="79" hidden="1">
      <c r="A79" s="139" t="s">
        <v>35</v>
      </c>
      <c r="B79" s="142" t="s">
        <v>1165</v>
      </c>
      <c r="C79" s="155" t="s">
        <v>1258</v>
      </c>
      <c r="D79" s="142" t="s">
        <v>1445</v>
      </c>
    </row>
    <row r="80" hidden="1">
      <c r="A80" s="139" t="s">
        <v>35</v>
      </c>
      <c r="B80" s="142" t="s">
        <v>1165</v>
      </c>
      <c r="C80" s="155" t="s">
        <v>1258</v>
      </c>
      <c r="D80" s="142" t="s">
        <v>1446</v>
      </c>
    </row>
    <row r="81" hidden="1">
      <c r="A81" s="139" t="s">
        <v>35</v>
      </c>
      <c r="B81" s="142" t="s">
        <v>1165</v>
      </c>
      <c r="C81" s="155" t="s">
        <v>1258</v>
      </c>
      <c r="D81" s="142" t="s">
        <v>1447</v>
      </c>
    </row>
    <row r="82" hidden="1">
      <c r="A82" s="139" t="s">
        <v>35</v>
      </c>
      <c r="B82" s="142" t="s">
        <v>1165</v>
      </c>
      <c r="C82" s="155" t="s">
        <v>1317</v>
      </c>
      <c r="D82" s="142" t="s">
        <v>1448</v>
      </c>
    </row>
    <row r="83" hidden="1">
      <c r="A83" s="139" t="s">
        <v>35</v>
      </c>
      <c r="B83" s="142" t="s">
        <v>1167</v>
      </c>
      <c r="C83" s="155" t="s">
        <v>1258</v>
      </c>
      <c r="D83" s="142" t="s">
        <v>1449</v>
      </c>
    </row>
    <row r="84" hidden="1">
      <c r="A84" s="139" t="s">
        <v>35</v>
      </c>
      <c r="B84" s="142" t="s">
        <v>1167</v>
      </c>
      <c r="C84" s="155" t="s">
        <v>1258</v>
      </c>
      <c r="D84" s="142" t="s">
        <v>1450</v>
      </c>
    </row>
    <row r="85" hidden="1">
      <c r="A85" s="139" t="s">
        <v>35</v>
      </c>
      <c r="B85" s="142" t="s">
        <v>1165</v>
      </c>
      <c r="C85" s="142" t="s">
        <v>1258</v>
      </c>
      <c r="D85" s="142" t="s">
        <v>1451</v>
      </c>
    </row>
    <row r="86" hidden="1">
      <c r="A86" s="139" t="s">
        <v>35</v>
      </c>
      <c r="B86" s="142" t="s">
        <v>1165</v>
      </c>
      <c r="C86" s="155" t="s">
        <v>1317</v>
      </c>
      <c r="D86" s="142" t="s">
        <v>1452</v>
      </c>
    </row>
    <row r="87" hidden="1">
      <c r="A87" s="139" t="s">
        <v>35</v>
      </c>
      <c r="B87" s="142" t="s">
        <v>1165</v>
      </c>
      <c r="C87" s="155" t="s">
        <v>1317</v>
      </c>
      <c r="D87" s="142" t="s">
        <v>1453</v>
      </c>
    </row>
    <row r="88" hidden="1">
      <c r="A88" s="155" t="s">
        <v>37</v>
      </c>
      <c r="B88" s="142" t="s">
        <v>16</v>
      </c>
      <c r="C88" s="155" t="s">
        <v>1317</v>
      </c>
      <c r="D88" s="142" t="s">
        <v>1454</v>
      </c>
    </row>
    <row r="89" hidden="1">
      <c r="A89" s="155" t="s">
        <v>37</v>
      </c>
      <c r="B89" s="142" t="s">
        <v>16</v>
      </c>
      <c r="C89" s="155" t="s">
        <v>1317</v>
      </c>
      <c r="D89" s="142" t="s">
        <v>1455</v>
      </c>
    </row>
    <row r="90" hidden="1">
      <c r="A90" s="155" t="s">
        <v>37</v>
      </c>
      <c r="B90" s="142" t="s">
        <v>16</v>
      </c>
      <c r="C90" s="155" t="s">
        <v>1317</v>
      </c>
      <c r="D90" s="142" t="s">
        <v>1456</v>
      </c>
    </row>
    <row r="91" hidden="1">
      <c r="A91" s="155" t="s">
        <v>37</v>
      </c>
      <c r="B91" s="142" t="s">
        <v>16</v>
      </c>
      <c r="C91" s="155" t="s">
        <v>1317</v>
      </c>
      <c r="D91" s="142" t="s">
        <v>1457</v>
      </c>
    </row>
    <row r="92" hidden="1">
      <c r="A92" s="155" t="s">
        <v>37</v>
      </c>
      <c r="B92" s="142" t="s">
        <v>1165</v>
      </c>
      <c r="C92" s="155" t="s">
        <v>1258</v>
      </c>
      <c r="D92" s="142" t="s">
        <v>1458</v>
      </c>
    </row>
    <row r="93" hidden="1">
      <c r="A93" s="155" t="s">
        <v>37</v>
      </c>
      <c r="B93" s="142" t="s">
        <v>16</v>
      </c>
      <c r="C93" s="155" t="s">
        <v>1401</v>
      </c>
      <c r="D93" s="142" t="s">
        <v>1459</v>
      </c>
    </row>
    <row r="94" hidden="1">
      <c r="A94" s="155" t="s">
        <v>37</v>
      </c>
      <c r="B94" s="142" t="s">
        <v>75</v>
      </c>
      <c r="C94" s="155" t="s">
        <v>1460</v>
      </c>
      <c r="D94" s="142" t="s">
        <v>1459</v>
      </c>
    </row>
    <row r="95" hidden="1">
      <c r="A95" s="155" t="s">
        <v>37</v>
      </c>
      <c r="B95" s="142" t="s">
        <v>1165</v>
      </c>
      <c r="C95" s="155" t="s">
        <v>1317</v>
      </c>
      <c r="D95" s="142" t="s">
        <v>1461</v>
      </c>
    </row>
    <row r="96" hidden="1">
      <c r="A96" s="155" t="s">
        <v>39</v>
      </c>
      <c r="B96" s="142" t="s">
        <v>16</v>
      </c>
      <c r="C96" s="155" t="s">
        <v>1258</v>
      </c>
      <c r="D96" s="142" t="s">
        <v>1462</v>
      </c>
    </row>
    <row r="97" hidden="1">
      <c r="A97" s="155" t="s">
        <v>39</v>
      </c>
      <c r="B97" s="142" t="s">
        <v>16</v>
      </c>
      <c r="C97" s="155" t="s">
        <v>1317</v>
      </c>
      <c r="D97" s="142" t="s">
        <v>1463</v>
      </c>
    </row>
    <row r="98" hidden="1">
      <c r="A98" s="155" t="s">
        <v>39</v>
      </c>
      <c r="B98" s="142" t="s">
        <v>16</v>
      </c>
      <c r="C98" s="155" t="s">
        <v>1464</v>
      </c>
      <c r="D98" s="142" t="s">
        <v>1465</v>
      </c>
    </row>
    <row r="99" hidden="1">
      <c r="A99" s="155" t="s">
        <v>39</v>
      </c>
      <c r="B99" s="142" t="s">
        <v>16</v>
      </c>
      <c r="C99" s="155" t="s">
        <v>1317</v>
      </c>
      <c r="D99" s="142" t="s">
        <v>1466</v>
      </c>
    </row>
    <row r="100" hidden="1">
      <c r="A100" s="155" t="s">
        <v>39</v>
      </c>
      <c r="B100" s="142" t="s">
        <v>16</v>
      </c>
      <c r="C100" s="142" t="s">
        <v>1467</v>
      </c>
      <c r="D100" s="142" t="s">
        <v>1468</v>
      </c>
    </row>
    <row r="101" hidden="1">
      <c r="A101" s="155" t="s">
        <v>41</v>
      </c>
      <c r="B101" s="142" t="s">
        <v>16</v>
      </c>
      <c r="C101" s="155" t="s">
        <v>1317</v>
      </c>
      <c r="D101" s="142" t="s">
        <v>1469</v>
      </c>
    </row>
    <row r="102" hidden="1">
      <c r="A102" s="155" t="s">
        <v>41</v>
      </c>
      <c r="B102" s="142" t="s">
        <v>16</v>
      </c>
      <c r="C102" s="155" t="s">
        <v>1258</v>
      </c>
      <c r="D102" s="142" t="s">
        <v>1470</v>
      </c>
    </row>
    <row r="103" hidden="1">
      <c r="A103" s="155" t="s">
        <v>41</v>
      </c>
      <c r="B103" s="142" t="s">
        <v>16</v>
      </c>
      <c r="C103" s="155" t="s">
        <v>1258</v>
      </c>
      <c r="D103" s="142" t="s">
        <v>1471</v>
      </c>
    </row>
    <row r="104" hidden="1">
      <c r="A104" s="155" t="s">
        <v>41</v>
      </c>
      <c r="B104" s="142" t="s">
        <v>16</v>
      </c>
      <c r="C104" s="142" t="s">
        <v>1472</v>
      </c>
      <c r="D104" s="142" t="s">
        <v>1473</v>
      </c>
    </row>
    <row r="105" hidden="1">
      <c r="A105" s="155" t="s">
        <v>41</v>
      </c>
      <c r="B105" s="142" t="s">
        <v>1180</v>
      </c>
      <c r="C105" s="155" t="s">
        <v>1258</v>
      </c>
      <c r="D105" s="142" t="s">
        <v>1470</v>
      </c>
    </row>
    <row r="106" hidden="1">
      <c r="A106" s="155" t="s">
        <v>41</v>
      </c>
      <c r="B106" s="142" t="s">
        <v>1180</v>
      </c>
      <c r="C106" s="155" t="s">
        <v>1258</v>
      </c>
      <c r="D106" s="142" t="s">
        <v>1474</v>
      </c>
    </row>
    <row r="107" hidden="1">
      <c r="A107" s="155" t="s">
        <v>41</v>
      </c>
      <c r="B107" s="142" t="s">
        <v>1475</v>
      </c>
      <c r="C107" s="142" t="s">
        <v>1258</v>
      </c>
      <c r="D107" s="142" t="s">
        <v>1476</v>
      </c>
    </row>
    <row r="108" hidden="1">
      <c r="A108" s="155" t="s">
        <v>41</v>
      </c>
      <c r="B108" s="142" t="s">
        <v>1475</v>
      </c>
      <c r="C108" s="155" t="s">
        <v>1317</v>
      </c>
      <c r="D108" s="142" t="s">
        <v>1477</v>
      </c>
    </row>
    <row r="109" hidden="1">
      <c r="A109" s="155" t="s">
        <v>41</v>
      </c>
      <c r="B109" s="142" t="s">
        <v>1475</v>
      </c>
      <c r="C109" s="155" t="s">
        <v>1317</v>
      </c>
      <c r="D109" s="142" t="s">
        <v>1478</v>
      </c>
    </row>
    <row r="110" hidden="1">
      <c r="A110" s="155" t="s">
        <v>41</v>
      </c>
      <c r="B110" s="142" t="s">
        <v>1475</v>
      </c>
      <c r="C110" s="155" t="s">
        <v>1317</v>
      </c>
      <c r="D110" s="142" t="s">
        <v>1479</v>
      </c>
    </row>
    <row r="111" hidden="1">
      <c r="A111" s="155" t="s">
        <v>41</v>
      </c>
      <c r="B111" s="142" t="s">
        <v>1475</v>
      </c>
      <c r="C111" s="155" t="s">
        <v>1317</v>
      </c>
      <c r="D111" s="142" t="s">
        <v>1480</v>
      </c>
    </row>
    <row r="112" hidden="1">
      <c r="A112" s="155" t="s">
        <v>41</v>
      </c>
      <c r="B112" s="142" t="s">
        <v>1475</v>
      </c>
      <c r="C112" s="155" t="s">
        <v>1317</v>
      </c>
      <c r="D112" s="142" t="s">
        <v>1481</v>
      </c>
    </row>
    <row r="113" hidden="1">
      <c r="A113" s="155" t="s">
        <v>41</v>
      </c>
      <c r="B113" s="142" t="s">
        <v>1475</v>
      </c>
      <c r="C113" s="155" t="s">
        <v>1317</v>
      </c>
      <c r="D113" s="142" t="s">
        <v>1482</v>
      </c>
    </row>
    <row r="114" hidden="1">
      <c r="A114" s="155" t="s">
        <v>43</v>
      </c>
      <c r="B114" s="142" t="s">
        <v>1125</v>
      </c>
      <c r="C114" s="142" t="s">
        <v>1483</v>
      </c>
      <c r="D114" s="142" t="s">
        <v>1484</v>
      </c>
    </row>
    <row r="115" hidden="1">
      <c r="A115" s="155" t="s">
        <v>43</v>
      </c>
      <c r="B115" s="142" t="s">
        <v>1125</v>
      </c>
      <c r="C115" s="142" t="s">
        <v>1258</v>
      </c>
      <c r="D115" s="142" t="s">
        <v>1485</v>
      </c>
    </row>
    <row r="116" hidden="1">
      <c r="A116" s="155" t="s">
        <v>43</v>
      </c>
      <c r="B116" s="142" t="s">
        <v>1125</v>
      </c>
      <c r="C116" s="142" t="s">
        <v>1258</v>
      </c>
      <c r="D116" s="142" t="s">
        <v>1486</v>
      </c>
    </row>
    <row r="117" hidden="1">
      <c r="A117" s="155" t="s">
        <v>43</v>
      </c>
      <c r="B117" s="142" t="s">
        <v>1125</v>
      </c>
      <c r="C117" s="142" t="s">
        <v>1258</v>
      </c>
      <c r="D117" s="142" t="s">
        <v>1487</v>
      </c>
    </row>
    <row r="118" hidden="1">
      <c r="A118" s="155" t="s">
        <v>43</v>
      </c>
      <c r="B118" s="142" t="s">
        <v>1125</v>
      </c>
      <c r="C118" s="142" t="s">
        <v>1258</v>
      </c>
      <c r="D118" s="142" t="s">
        <v>1488</v>
      </c>
    </row>
    <row r="119" hidden="1">
      <c r="A119" s="155" t="s">
        <v>43</v>
      </c>
      <c r="B119" s="142" t="s">
        <v>1125</v>
      </c>
      <c r="C119" s="142" t="s">
        <v>1258</v>
      </c>
      <c r="D119" s="142" t="s">
        <v>1489</v>
      </c>
    </row>
    <row r="120" hidden="1">
      <c r="A120" s="155" t="s">
        <v>43</v>
      </c>
      <c r="B120" s="142" t="s">
        <v>1125</v>
      </c>
      <c r="C120" s="142" t="s">
        <v>1490</v>
      </c>
      <c r="D120" s="142" t="s">
        <v>1491</v>
      </c>
    </row>
    <row r="121" hidden="1">
      <c r="A121" s="155" t="s">
        <v>43</v>
      </c>
      <c r="B121" s="142" t="s">
        <v>1125</v>
      </c>
      <c r="C121" s="142" t="s">
        <v>1492</v>
      </c>
      <c r="D121" s="142" t="s">
        <v>1493</v>
      </c>
    </row>
    <row r="122" hidden="1">
      <c r="A122" s="155" t="s">
        <v>43</v>
      </c>
      <c r="B122" s="142" t="s">
        <v>1125</v>
      </c>
      <c r="C122" s="142" t="s">
        <v>1317</v>
      </c>
      <c r="D122" s="142" t="s">
        <v>1494</v>
      </c>
    </row>
    <row r="123" hidden="1">
      <c r="A123" s="155" t="s">
        <v>43</v>
      </c>
      <c r="B123" s="142" t="s">
        <v>1125</v>
      </c>
      <c r="C123" s="142" t="s">
        <v>1317</v>
      </c>
      <c r="D123" s="142" t="s">
        <v>1495</v>
      </c>
    </row>
    <row r="124" hidden="1">
      <c r="A124" s="155" t="s">
        <v>43</v>
      </c>
      <c r="B124" s="142" t="s">
        <v>1125</v>
      </c>
      <c r="C124" s="142" t="s">
        <v>1258</v>
      </c>
      <c r="D124" s="142" t="s">
        <v>1496</v>
      </c>
    </row>
    <row r="125" hidden="1">
      <c r="A125" s="155" t="s">
        <v>43</v>
      </c>
      <c r="B125" s="142" t="s">
        <v>1125</v>
      </c>
      <c r="C125" s="142" t="s">
        <v>1497</v>
      </c>
      <c r="D125" s="142" t="s">
        <v>1127</v>
      </c>
    </row>
    <row r="126" hidden="1">
      <c r="A126" s="155" t="s">
        <v>43</v>
      </c>
      <c r="B126" s="142" t="s">
        <v>1125</v>
      </c>
      <c r="C126" s="142" t="s">
        <v>1498</v>
      </c>
      <c r="D126" s="142" t="s">
        <v>1499</v>
      </c>
    </row>
    <row r="127" hidden="1">
      <c r="A127" s="155" t="s">
        <v>43</v>
      </c>
      <c r="B127" s="142" t="s">
        <v>1125</v>
      </c>
      <c r="C127" s="142" t="s">
        <v>1500</v>
      </c>
      <c r="D127" s="142" t="s">
        <v>1501</v>
      </c>
    </row>
    <row r="128" hidden="1">
      <c r="A128" s="155" t="s">
        <v>43</v>
      </c>
      <c r="B128" s="142" t="s">
        <v>1125</v>
      </c>
      <c r="C128" s="142" t="s">
        <v>1502</v>
      </c>
      <c r="D128" s="142" t="s">
        <v>1503</v>
      </c>
    </row>
    <row r="129" hidden="1">
      <c r="A129" s="155" t="s">
        <v>43</v>
      </c>
      <c r="B129" s="142" t="s">
        <v>1125</v>
      </c>
      <c r="C129" s="142" t="s">
        <v>1504</v>
      </c>
      <c r="D129" s="142" t="s">
        <v>1505</v>
      </c>
    </row>
    <row r="130" hidden="1">
      <c r="A130" s="155" t="s">
        <v>43</v>
      </c>
      <c r="B130" s="142" t="s">
        <v>1125</v>
      </c>
      <c r="C130" s="142" t="s">
        <v>1147</v>
      </c>
      <c r="D130" s="142" t="s">
        <v>1506</v>
      </c>
    </row>
    <row r="131" hidden="1">
      <c r="A131" s="155" t="s">
        <v>43</v>
      </c>
      <c r="B131" s="142" t="s">
        <v>1125</v>
      </c>
      <c r="C131" s="142" t="s">
        <v>1317</v>
      </c>
      <c r="D131" s="142" t="s">
        <v>1507</v>
      </c>
    </row>
    <row r="132" hidden="1">
      <c r="A132" s="155" t="s">
        <v>43</v>
      </c>
      <c r="B132" s="142" t="s">
        <v>1125</v>
      </c>
      <c r="C132" s="142" t="s">
        <v>1508</v>
      </c>
      <c r="D132" s="142" t="s">
        <v>1509</v>
      </c>
    </row>
    <row r="133" hidden="1">
      <c r="A133" s="155" t="s">
        <v>43</v>
      </c>
      <c r="B133" s="142" t="s">
        <v>1125</v>
      </c>
      <c r="C133" s="142" t="s">
        <v>1317</v>
      </c>
      <c r="D133" s="142" t="s">
        <v>1510</v>
      </c>
    </row>
    <row r="134" hidden="1">
      <c r="A134" s="155" t="s">
        <v>43</v>
      </c>
      <c r="B134" s="142" t="s">
        <v>1125</v>
      </c>
      <c r="C134" s="142" t="s">
        <v>1317</v>
      </c>
      <c r="D134" s="142" t="s">
        <v>1511</v>
      </c>
    </row>
    <row r="135" hidden="1">
      <c r="A135" s="155" t="s">
        <v>43</v>
      </c>
      <c r="B135" s="142" t="s">
        <v>1125</v>
      </c>
      <c r="C135" s="142" t="s">
        <v>1512</v>
      </c>
      <c r="D135" s="142" t="s">
        <v>1513</v>
      </c>
    </row>
    <row r="136" hidden="1">
      <c r="A136" s="155" t="s">
        <v>43</v>
      </c>
      <c r="B136" s="142" t="s">
        <v>1125</v>
      </c>
      <c r="C136" s="142" t="s">
        <v>1514</v>
      </c>
      <c r="D136" s="142" t="s">
        <v>1515</v>
      </c>
    </row>
    <row r="137" hidden="1">
      <c r="A137" s="155" t="s">
        <v>43</v>
      </c>
      <c r="B137" s="142" t="s">
        <v>1125</v>
      </c>
      <c r="C137" s="142" t="s">
        <v>1258</v>
      </c>
      <c r="D137" s="142" t="s">
        <v>1516</v>
      </c>
    </row>
    <row r="138" hidden="1">
      <c r="A138" s="155" t="s">
        <v>43</v>
      </c>
      <c r="B138" s="142" t="s">
        <v>1125</v>
      </c>
      <c r="C138" s="142" t="s">
        <v>1317</v>
      </c>
      <c r="D138" s="142" t="s">
        <v>1517</v>
      </c>
    </row>
    <row r="139" hidden="1">
      <c r="A139" s="155" t="s">
        <v>43</v>
      </c>
      <c r="B139" s="142" t="s">
        <v>1125</v>
      </c>
      <c r="C139" s="142" t="s">
        <v>1258</v>
      </c>
      <c r="D139" s="142" t="s">
        <v>1518</v>
      </c>
    </row>
    <row r="140" hidden="1">
      <c r="A140" s="155" t="s">
        <v>43</v>
      </c>
      <c r="B140" s="142" t="s">
        <v>1125</v>
      </c>
      <c r="C140" s="142" t="s">
        <v>1519</v>
      </c>
      <c r="D140" s="142" t="s">
        <v>1520</v>
      </c>
    </row>
    <row r="141" hidden="1">
      <c r="A141" s="155" t="s">
        <v>43</v>
      </c>
      <c r="B141" s="142" t="s">
        <v>1125</v>
      </c>
      <c r="C141" s="142" t="s">
        <v>1521</v>
      </c>
      <c r="D141" s="142" t="s">
        <v>1522</v>
      </c>
    </row>
    <row r="142" hidden="1">
      <c r="A142" s="155" t="s">
        <v>43</v>
      </c>
      <c r="B142" s="142" t="s">
        <v>1165</v>
      </c>
      <c r="C142" s="142" t="s">
        <v>1258</v>
      </c>
      <c r="D142" s="142" t="s">
        <v>1523</v>
      </c>
    </row>
    <row r="143" hidden="1">
      <c r="A143" s="155" t="s">
        <v>43</v>
      </c>
      <c r="B143" s="142" t="s">
        <v>1165</v>
      </c>
      <c r="C143" s="142" t="s">
        <v>1258</v>
      </c>
      <c r="D143" s="142" t="s">
        <v>1524</v>
      </c>
    </row>
    <row r="144" hidden="1">
      <c r="A144" s="155" t="s">
        <v>43</v>
      </c>
      <c r="B144" s="142" t="s">
        <v>1165</v>
      </c>
      <c r="C144" s="142" t="s">
        <v>1525</v>
      </c>
      <c r="D144" s="142" t="s">
        <v>1526</v>
      </c>
    </row>
    <row r="145" hidden="1">
      <c r="A145" s="155" t="s">
        <v>43</v>
      </c>
      <c r="B145" s="142" t="s">
        <v>1165</v>
      </c>
      <c r="C145" s="142" t="s">
        <v>1317</v>
      </c>
      <c r="D145" s="142" t="s">
        <v>1527</v>
      </c>
    </row>
    <row r="146" hidden="1">
      <c r="A146" s="155" t="s">
        <v>43</v>
      </c>
      <c r="B146" s="142" t="s">
        <v>1165</v>
      </c>
      <c r="C146" s="142" t="s">
        <v>1317</v>
      </c>
      <c r="D146" s="142" t="s">
        <v>1528</v>
      </c>
    </row>
    <row r="147" hidden="1">
      <c r="A147" s="155" t="s">
        <v>43</v>
      </c>
      <c r="B147" s="142" t="s">
        <v>1165</v>
      </c>
      <c r="C147" s="142" t="s">
        <v>1258</v>
      </c>
      <c r="D147" s="142" t="s">
        <v>1529</v>
      </c>
    </row>
    <row r="148" hidden="1">
      <c r="A148" s="155" t="s">
        <v>43</v>
      </c>
      <c r="B148" s="142" t="s">
        <v>1165</v>
      </c>
      <c r="C148" s="142" t="s">
        <v>1530</v>
      </c>
      <c r="D148" s="142" t="s">
        <v>1531</v>
      </c>
    </row>
    <row r="149" hidden="1">
      <c r="A149" s="155" t="s">
        <v>46</v>
      </c>
      <c r="B149" s="142" t="s">
        <v>16</v>
      </c>
      <c r="C149" s="142" t="s">
        <v>1258</v>
      </c>
      <c r="D149" s="155" t="s">
        <v>1532</v>
      </c>
    </row>
    <row r="150" hidden="1">
      <c r="A150" s="155" t="s">
        <v>46</v>
      </c>
      <c r="B150" s="142" t="s">
        <v>16</v>
      </c>
      <c r="C150" s="142" t="s">
        <v>1258</v>
      </c>
      <c r="D150" s="155" t="s">
        <v>1533</v>
      </c>
    </row>
    <row r="151" hidden="1">
      <c r="A151" s="155" t="s">
        <v>46</v>
      </c>
      <c r="B151" s="142" t="s">
        <v>16</v>
      </c>
      <c r="C151" s="142" t="s">
        <v>1317</v>
      </c>
      <c r="D151" s="155" t="s">
        <v>1534</v>
      </c>
    </row>
    <row r="152" hidden="1">
      <c r="A152" s="155" t="s">
        <v>46</v>
      </c>
      <c r="B152" s="142" t="s">
        <v>16</v>
      </c>
      <c r="C152" s="142" t="s">
        <v>1317</v>
      </c>
      <c r="D152" s="155" t="s">
        <v>1535</v>
      </c>
    </row>
    <row r="153" hidden="1">
      <c r="A153" s="155" t="s">
        <v>46</v>
      </c>
      <c r="B153" s="155" t="s">
        <v>1536</v>
      </c>
      <c r="C153" s="142" t="s">
        <v>1258</v>
      </c>
      <c r="D153" s="142" t="s">
        <v>1537</v>
      </c>
    </row>
    <row r="154" hidden="1">
      <c r="A154" s="155" t="s">
        <v>46</v>
      </c>
      <c r="B154" s="142" t="s">
        <v>1125</v>
      </c>
      <c r="C154" s="142" t="s">
        <v>1538</v>
      </c>
      <c r="D154" s="142" t="s">
        <v>892</v>
      </c>
    </row>
    <row r="155" hidden="1">
      <c r="A155" s="155" t="s">
        <v>46</v>
      </c>
      <c r="B155" s="142" t="s">
        <v>1125</v>
      </c>
      <c r="C155" s="142" t="s">
        <v>1539</v>
      </c>
      <c r="D155" s="142" t="s">
        <v>1540</v>
      </c>
    </row>
    <row r="156" hidden="1">
      <c r="A156" s="155" t="s">
        <v>46</v>
      </c>
      <c r="B156" s="142" t="s">
        <v>1125</v>
      </c>
      <c r="C156" s="142" t="s">
        <v>1317</v>
      </c>
      <c r="D156" s="142" t="s">
        <v>1541</v>
      </c>
    </row>
    <row r="157" hidden="1">
      <c r="A157" s="155" t="s">
        <v>46</v>
      </c>
      <c r="B157" s="142" t="s">
        <v>1125</v>
      </c>
      <c r="C157" s="142" t="s">
        <v>1317</v>
      </c>
      <c r="D157" s="142" t="s">
        <v>1542</v>
      </c>
    </row>
    <row r="158" hidden="1">
      <c r="A158" s="155" t="s">
        <v>46</v>
      </c>
      <c r="B158" s="155" t="s">
        <v>1536</v>
      </c>
      <c r="C158" s="142" t="s">
        <v>1258</v>
      </c>
      <c r="D158" s="142" t="s">
        <v>1543</v>
      </c>
    </row>
    <row r="159" hidden="1">
      <c r="A159" s="155" t="s">
        <v>48</v>
      </c>
      <c r="B159" s="142" t="s">
        <v>16</v>
      </c>
      <c r="C159" s="142" t="s">
        <v>1258</v>
      </c>
      <c r="D159" s="142" t="s">
        <v>1544</v>
      </c>
    </row>
    <row r="160" hidden="1">
      <c r="A160" s="155" t="s">
        <v>48</v>
      </c>
      <c r="B160" s="142" t="s">
        <v>16</v>
      </c>
      <c r="C160" s="142" t="s">
        <v>1317</v>
      </c>
      <c r="D160" s="142" t="s">
        <v>1545</v>
      </c>
    </row>
    <row r="161" hidden="1">
      <c r="A161" s="155" t="s">
        <v>48</v>
      </c>
      <c r="B161" s="142" t="s">
        <v>16</v>
      </c>
      <c r="C161" s="142" t="s">
        <v>1258</v>
      </c>
      <c r="D161" s="142" t="s">
        <v>1546</v>
      </c>
    </row>
    <row r="162" hidden="1">
      <c r="A162" s="155" t="s">
        <v>48</v>
      </c>
      <c r="B162" s="142" t="s">
        <v>1190</v>
      </c>
      <c r="C162" s="142" t="s">
        <v>1258</v>
      </c>
      <c r="D162" s="142" t="s">
        <v>1547</v>
      </c>
    </row>
    <row r="163" hidden="1">
      <c r="A163" s="155" t="s">
        <v>48</v>
      </c>
      <c r="B163" s="142" t="s">
        <v>1190</v>
      </c>
      <c r="C163" s="142" t="s">
        <v>1258</v>
      </c>
      <c r="D163" s="142" t="s">
        <v>1548</v>
      </c>
    </row>
    <row r="164" hidden="1">
      <c r="A164" s="155" t="s">
        <v>48</v>
      </c>
      <c r="B164" s="142" t="s">
        <v>1190</v>
      </c>
      <c r="C164" s="142" t="s">
        <v>1258</v>
      </c>
      <c r="D164" s="142" t="s">
        <v>1549</v>
      </c>
    </row>
    <row r="165" hidden="1">
      <c r="A165" s="155" t="s">
        <v>48</v>
      </c>
      <c r="B165" s="142" t="s">
        <v>1190</v>
      </c>
      <c r="C165" s="142" t="s">
        <v>1258</v>
      </c>
      <c r="D165" s="142" t="s">
        <v>1550</v>
      </c>
    </row>
    <row r="166" hidden="1">
      <c r="A166" s="155" t="s">
        <v>48</v>
      </c>
      <c r="B166" s="142" t="s">
        <v>1190</v>
      </c>
      <c r="C166" s="142" t="s">
        <v>1317</v>
      </c>
      <c r="D166" s="142" t="s">
        <v>1551</v>
      </c>
    </row>
    <row r="167" hidden="1">
      <c r="A167" s="155" t="s">
        <v>48</v>
      </c>
      <c r="B167" s="142" t="s">
        <v>1190</v>
      </c>
      <c r="C167" s="142" t="s">
        <v>1317</v>
      </c>
      <c r="D167" s="142" t="s">
        <v>1552</v>
      </c>
    </row>
    <row r="168" hidden="1">
      <c r="A168" s="155" t="s">
        <v>48</v>
      </c>
      <c r="B168" s="142" t="s">
        <v>1190</v>
      </c>
      <c r="C168" s="142" t="s">
        <v>1317</v>
      </c>
      <c r="D168" s="142" t="s">
        <v>1553</v>
      </c>
    </row>
    <row r="169" hidden="1">
      <c r="A169" s="155" t="s">
        <v>48</v>
      </c>
      <c r="B169" s="142" t="s">
        <v>1190</v>
      </c>
      <c r="C169" s="142" t="s">
        <v>1317</v>
      </c>
      <c r="D169" s="142" t="s">
        <v>1554</v>
      </c>
    </row>
    <row r="170" hidden="1">
      <c r="A170" s="155" t="s">
        <v>48</v>
      </c>
      <c r="B170" s="142" t="s">
        <v>1190</v>
      </c>
      <c r="C170" s="142" t="s">
        <v>1317</v>
      </c>
      <c r="D170" s="142" t="s">
        <v>1555</v>
      </c>
    </row>
    <row r="171" hidden="1">
      <c r="A171" s="155" t="s">
        <v>51</v>
      </c>
      <c r="B171" s="142" t="s">
        <v>633</v>
      </c>
      <c r="C171" s="142" t="s">
        <v>1317</v>
      </c>
      <c r="D171" s="142" t="s">
        <v>1556</v>
      </c>
    </row>
    <row r="172" hidden="1">
      <c r="A172" s="155" t="s">
        <v>51</v>
      </c>
      <c r="B172" s="142" t="s">
        <v>633</v>
      </c>
      <c r="C172" s="155" t="s">
        <v>1557</v>
      </c>
      <c r="D172" s="142" t="s">
        <v>1558</v>
      </c>
    </row>
    <row r="173" hidden="1">
      <c r="A173" s="155" t="s">
        <v>51</v>
      </c>
      <c r="B173" s="142" t="s">
        <v>633</v>
      </c>
      <c r="C173" s="142" t="s">
        <v>1258</v>
      </c>
      <c r="D173" s="142" t="s">
        <v>1559</v>
      </c>
    </row>
    <row r="174" hidden="1">
      <c r="A174" s="155" t="s">
        <v>51</v>
      </c>
      <c r="B174" s="142" t="s">
        <v>633</v>
      </c>
      <c r="C174" s="142" t="s">
        <v>1258</v>
      </c>
      <c r="D174" s="142" t="s">
        <v>1560</v>
      </c>
    </row>
    <row r="175" hidden="1">
      <c r="A175" s="155" t="s">
        <v>51</v>
      </c>
      <c r="B175" s="142" t="s">
        <v>633</v>
      </c>
      <c r="C175" s="142" t="s">
        <v>1561</v>
      </c>
      <c r="D175" s="142" t="s">
        <v>1562</v>
      </c>
    </row>
    <row r="176" hidden="1">
      <c r="A176" s="155" t="s">
        <v>51</v>
      </c>
      <c r="B176" s="142" t="s">
        <v>637</v>
      </c>
      <c r="C176" s="142" t="s">
        <v>1258</v>
      </c>
      <c r="D176" s="142" t="s">
        <v>1563</v>
      </c>
    </row>
    <row r="177" hidden="1">
      <c r="A177" s="155" t="s">
        <v>51</v>
      </c>
      <c r="B177" s="142" t="s">
        <v>637</v>
      </c>
      <c r="C177" s="142" t="s">
        <v>1258</v>
      </c>
      <c r="D177" s="142" t="s">
        <v>1564</v>
      </c>
    </row>
    <row r="178" hidden="1">
      <c r="A178" s="155" t="s">
        <v>53</v>
      </c>
      <c r="B178" s="142" t="s">
        <v>16</v>
      </c>
      <c r="C178" s="142" t="s">
        <v>1258</v>
      </c>
      <c r="D178" s="142" t="s">
        <v>1405</v>
      </c>
    </row>
    <row r="179" hidden="1">
      <c r="A179" s="155" t="s">
        <v>53</v>
      </c>
      <c r="B179" s="142" t="s">
        <v>1167</v>
      </c>
      <c r="C179" s="142" t="s">
        <v>1258</v>
      </c>
      <c r="D179" s="142" t="s">
        <v>1565</v>
      </c>
    </row>
    <row r="180" hidden="1">
      <c r="A180" s="155" t="s">
        <v>53</v>
      </c>
      <c r="B180" s="142" t="s">
        <v>1167</v>
      </c>
      <c r="C180" s="142" t="s">
        <v>1258</v>
      </c>
      <c r="D180" s="142" t="s">
        <v>1566</v>
      </c>
    </row>
    <row r="181" hidden="1">
      <c r="A181" s="155" t="s">
        <v>53</v>
      </c>
      <c r="B181" s="142" t="s">
        <v>1167</v>
      </c>
      <c r="C181" s="142" t="s">
        <v>1258</v>
      </c>
      <c r="D181" s="142" t="s">
        <v>1567</v>
      </c>
    </row>
    <row r="182" hidden="1">
      <c r="A182" s="155" t="s">
        <v>53</v>
      </c>
      <c r="B182" s="142" t="s">
        <v>1167</v>
      </c>
      <c r="C182" s="142" t="s">
        <v>1258</v>
      </c>
      <c r="D182" s="142" t="s">
        <v>1568</v>
      </c>
    </row>
    <row r="183" hidden="1">
      <c r="A183" s="155" t="s">
        <v>53</v>
      </c>
      <c r="B183" s="142" t="s">
        <v>1167</v>
      </c>
      <c r="C183" s="142" t="s">
        <v>1258</v>
      </c>
      <c r="D183" s="142" t="s">
        <v>1569</v>
      </c>
    </row>
    <row r="184" hidden="1">
      <c r="A184" s="155" t="s">
        <v>53</v>
      </c>
      <c r="B184" s="142" t="s">
        <v>1167</v>
      </c>
      <c r="C184" s="142" t="s">
        <v>1258</v>
      </c>
      <c r="D184" s="142" t="s">
        <v>1570</v>
      </c>
    </row>
    <row r="185" hidden="1">
      <c r="A185" s="155" t="s">
        <v>53</v>
      </c>
      <c r="B185" s="142" t="s">
        <v>1167</v>
      </c>
      <c r="C185" s="142" t="s">
        <v>1258</v>
      </c>
      <c r="D185" s="142" t="s">
        <v>1571</v>
      </c>
    </row>
    <row r="186" hidden="1">
      <c r="A186" s="155" t="s">
        <v>53</v>
      </c>
      <c r="B186" s="142" t="s">
        <v>1167</v>
      </c>
      <c r="C186" s="142" t="s">
        <v>1258</v>
      </c>
      <c r="D186" s="142" t="s">
        <v>1572</v>
      </c>
    </row>
    <row r="187" hidden="1">
      <c r="A187" s="155" t="s">
        <v>55</v>
      </c>
      <c r="B187" s="155" t="s">
        <v>16</v>
      </c>
      <c r="C187" s="155" t="s">
        <v>1258</v>
      </c>
      <c r="D187" s="155" t="s">
        <v>1573</v>
      </c>
    </row>
    <row r="188" hidden="1">
      <c r="A188" s="155" t="s">
        <v>55</v>
      </c>
      <c r="B188" s="155" t="s">
        <v>16</v>
      </c>
      <c r="C188" s="155" t="s">
        <v>1258</v>
      </c>
      <c r="D188" s="155" t="s">
        <v>1574</v>
      </c>
    </row>
    <row r="189" hidden="1">
      <c r="A189" s="155" t="s">
        <v>55</v>
      </c>
      <c r="B189" s="155" t="s">
        <v>16</v>
      </c>
      <c r="C189" s="155" t="s">
        <v>1147</v>
      </c>
      <c r="D189" s="155" t="s">
        <v>1575</v>
      </c>
    </row>
    <row r="190" hidden="1">
      <c r="A190" s="155" t="s">
        <v>55</v>
      </c>
      <c r="B190" s="155" t="s">
        <v>16</v>
      </c>
      <c r="C190" s="155" t="s">
        <v>1258</v>
      </c>
      <c r="D190" s="155" t="s">
        <v>1576</v>
      </c>
    </row>
    <row r="191" hidden="1">
      <c r="A191" s="155" t="s">
        <v>55</v>
      </c>
      <c r="B191" s="155" t="s">
        <v>16</v>
      </c>
      <c r="C191" s="155" t="s">
        <v>1317</v>
      </c>
      <c r="D191" s="155" t="s">
        <v>1577</v>
      </c>
    </row>
    <row r="192" hidden="1">
      <c r="A192" s="155" t="s">
        <v>55</v>
      </c>
      <c r="B192" s="155" t="s">
        <v>16</v>
      </c>
      <c r="C192" s="155" t="s">
        <v>1578</v>
      </c>
      <c r="D192" s="155" t="s">
        <v>1579</v>
      </c>
    </row>
    <row r="193" hidden="1">
      <c r="A193" s="155" t="s">
        <v>58</v>
      </c>
      <c r="B193" s="142" t="s">
        <v>1205</v>
      </c>
      <c r="C193" s="142" t="s">
        <v>1258</v>
      </c>
      <c r="D193" s="142" t="s">
        <v>1529</v>
      </c>
    </row>
    <row r="194" hidden="1">
      <c r="A194" s="155" t="s">
        <v>58</v>
      </c>
      <c r="B194" s="142" t="s">
        <v>1205</v>
      </c>
      <c r="C194" s="142" t="s">
        <v>1258</v>
      </c>
      <c r="D194" s="142" t="s">
        <v>1580</v>
      </c>
    </row>
    <row r="195" hidden="1">
      <c r="A195" s="155" t="s">
        <v>58</v>
      </c>
      <c r="B195" s="142" t="s">
        <v>1205</v>
      </c>
      <c r="C195" s="142" t="s">
        <v>1258</v>
      </c>
      <c r="D195" s="142" t="s">
        <v>1581</v>
      </c>
    </row>
    <row r="196" hidden="1">
      <c r="A196" s="155" t="s">
        <v>58</v>
      </c>
      <c r="B196" s="142" t="s">
        <v>1205</v>
      </c>
      <c r="C196" s="142" t="s">
        <v>1258</v>
      </c>
      <c r="D196" s="142" t="s">
        <v>1582</v>
      </c>
    </row>
    <row r="197" hidden="1">
      <c r="A197" s="155" t="s">
        <v>58</v>
      </c>
      <c r="B197" s="142" t="s">
        <v>1205</v>
      </c>
      <c r="C197" s="142" t="s">
        <v>1258</v>
      </c>
      <c r="D197" s="142" t="s">
        <v>1583</v>
      </c>
    </row>
    <row r="198" hidden="1">
      <c r="A198" s="155" t="s">
        <v>58</v>
      </c>
      <c r="B198" s="142" t="s">
        <v>1205</v>
      </c>
      <c r="C198" s="142" t="s">
        <v>1258</v>
      </c>
      <c r="D198" s="142" t="s">
        <v>1584</v>
      </c>
    </row>
    <row r="199" hidden="1">
      <c r="A199" s="155" t="s">
        <v>58</v>
      </c>
      <c r="B199" s="142" t="s">
        <v>1205</v>
      </c>
      <c r="C199" s="142" t="s">
        <v>1258</v>
      </c>
      <c r="D199" s="142" t="s">
        <v>1570</v>
      </c>
    </row>
    <row r="200" hidden="1">
      <c r="A200" s="155" t="s">
        <v>58</v>
      </c>
      <c r="B200" s="142" t="s">
        <v>1205</v>
      </c>
      <c r="C200" s="142" t="s">
        <v>1258</v>
      </c>
      <c r="D200" s="142" t="s">
        <v>1585</v>
      </c>
    </row>
    <row r="201" hidden="1">
      <c r="A201" s="155" t="s">
        <v>58</v>
      </c>
      <c r="B201" s="142" t="s">
        <v>1180</v>
      </c>
      <c r="C201" s="142" t="s">
        <v>1258</v>
      </c>
      <c r="D201" s="142" t="s">
        <v>1583</v>
      </c>
    </row>
    <row r="202" hidden="1">
      <c r="A202" s="155" t="s">
        <v>58</v>
      </c>
      <c r="B202" s="142" t="s">
        <v>1180</v>
      </c>
      <c r="C202" s="142" t="s">
        <v>1258</v>
      </c>
      <c r="D202" s="142" t="s">
        <v>1586</v>
      </c>
    </row>
    <row r="203" hidden="1">
      <c r="A203" s="155" t="s">
        <v>58</v>
      </c>
      <c r="B203" s="142" t="s">
        <v>1180</v>
      </c>
      <c r="C203" s="142" t="s">
        <v>1258</v>
      </c>
      <c r="D203" s="142" t="s">
        <v>1587</v>
      </c>
    </row>
    <row r="204" hidden="1">
      <c r="A204" s="155" t="s">
        <v>58</v>
      </c>
      <c r="B204" s="142" t="s">
        <v>1180</v>
      </c>
      <c r="C204" s="142" t="s">
        <v>1258</v>
      </c>
      <c r="D204" s="142" t="s">
        <v>1588</v>
      </c>
    </row>
    <row r="205" hidden="1">
      <c r="A205" s="155" t="s">
        <v>58</v>
      </c>
      <c r="B205" s="142" t="s">
        <v>1180</v>
      </c>
      <c r="C205" s="142" t="s">
        <v>1258</v>
      </c>
      <c r="D205" s="142" t="s">
        <v>1589</v>
      </c>
    </row>
    <row r="206" hidden="1">
      <c r="A206" s="155" t="s">
        <v>58</v>
      </c>
      <c r="B206" s="142" t="s">
        <v>1180</v>
      </c>
      <c r="C206" s="142" t="s">
        <v>1258</v>
      </c>
      <c r="D206" s="142" t="s">
        <v>1590</v>
      </c>
    </row>
    <row r="207" hidden="1">
      <c r="A207" s="155" t="s">
        <v>58</v>
      </c>
      <c r="B207" s="142" t="s">
        <v>1180</v>
      </c>
      <c r="C207" s="142" t="s">
        <v>1258</v>
      </c>
      <c r="D207" s="142" t="s">
        <v>1591</v>
      </c>
    </row>
    <row r="208" hidden="1">
      <c r="A208" s="155" t="s">
        <v>58</v>
      </c>
      <c r="B208" s="142" t="s">
        <v>1180</v>
      </c>
      <c r="C208" s="142" t="s">
        <v>1258</v>
      </c>
      <c r="D208" s="142" t="s">
        <v>1592</v>
      </c>
    </row>
    <row r="209" hidden="1">
      <c r="A209" s="155" t="s">
        <v>58</v>
      </c>
      <c r="B209" s="142" t="s">
        <v>1180</v>
      </c>
      <c r="C209" s="142" t="s">
        <v>1258</v>
      </c>
      <c r="D209" s="142" t="s">
        <v>1593</v>
      </c>
    </row>
    <row r="210" hidden="1">
      <c r="A210" s="155" t="s">
        <v>60</v>
      </c>
      <c r="B210" s="142" t="s">
        <v>16</v>
      </c>
      <c r="C210" s="142" t="s">
        <v>1317</v>
      </c>
      <c r="D210" s="142" t="s">
        <v>1594</v>
      </c>
    </row>
    <row r="211" hidden="1">
      <c r="A211" s="155" t="s">
        <v>60</v>
      </c>
      <c r="B211" s="142" t="s">
        <v>16</v>
      </c>
      <c r="C211" s="142" t="s">
        <v>1258</v>
      </c>
      <c r="D211" s="142" t="s">
        <v>1595</v>
      </c>
    </row>
    <row r="212" hidden="1">
      <c r="A212" s="155" t="s">
        <v>60</v>
      </c>
      <c r="B212" s="142" t="s">
        <v>16</v>
      </c>
      <c r="C212" s="142" t="s">
        <v>1596</v>
      </c>
      <c r="D212" s="142" t="s">
        <v>1535</v>
      </c>
    </row>
    <row r="213" hidden="1">
      <c r="A213" s="155" t="s">
        <v>60</v>
      </c>
      <c r="B213" s="142" t="s">
        <v>16</v>
      </c>
      <c r="C213" s="142" t="s">
        <v>1317</v>
      </c>
      <c r="D213" s="142" t="s">
        <v>1597</v>
      </c>
    </row>
    <row r="214" hidden="1">
      <c r="A214" s="155" t="s">
        <v>60</v>
      </c>
      <c r="B214" s="142" t="s">
        <v>16</v>
      </c>
      <c r="C214" s="142" t="s">
        <v>1598</v>
      </c>
      <c r="D214" s="142" t="s">
        <v>1599</v>
      </c>
    </row>
    <row r="215" hidden="1">
      <c r="A215" s="155" t="s">
        <v>62</v>
      </c>
      <c r="B215" s="142" t="s">
        <v>1165</v>
      </c>
      <c r="C215" s="142" t="s">
        <v>1258</v>
      </c>
      <c r="D215" s="142" t="s">
        <v>1600</v>
      </c>
    </row>
    <row r="216" hidden="1">
      <c r="A216" s="155" t="s">
        <v>62</v>
      </c>
      <c r="B216" s="142" t="s">
        <v>1125</v>
      </c>
      <c r="C216" s="142" t="s">
        <v>1258</v>
      </c>
      <c r="D216" s="142" t="s">
        <v>1366</v>
      </c>
    </row>
    <row r="217" hidden="1">
      <c r="A217" s="155" t="s">
        <v>64</v>
      </c>
      <c r="B217" s="142" t="s">
        <v>1125</v>
      </c>
      <c r="C217" s="142" t="s">
        <v>1601</v>
      </c>
      <c r="D217" s="142" t="s">
        <v>1602</v>
      </c>
    </row>
    <row r="218" hidden="1">
      <c r="A218" s="155" t="s">
        <v>64</v>
      </c>
      <c r="B218" s="142" t="s">
        <v>16</v>
      </c>
      <c r="C218" s="142" t="s">
        <v>1603</v>
      </c>
      <c r="D218" s="142" t="s">
        <v>1604</v>
      </c>
    </row>
    <row r="219" hidden="1">
      <c r="A219" s="155" t="s">
        <v>64</v>
      </c>
      <c r="B219" s="142" t="s">
        <v>64</v>
      </c>
      <c r="C219" s="142" t="s">
        <v>1605</v>
      </c>
      <c r="D219" s="142" t="s">
        <v>1606</v>
      </c>
    </row>
    <row r="220" hidden="1">
      <c r="A220" s="155" t="s">
        <v>64</v>
      </c>
      <c r="B220" s="142" t="s">
        <v>64</v>
      </c>
      <c r="C220" s="142" t="s">
        <v>1258</v>
      </c>
      <c r="D220" s="142" t="s">
        <v>1607</v>
      </c>
    </row>
    <row r="221" hidden="1">
      <c r="A221" s="155" t="s">
        <v>64</v>
      </c>
      <c r="B221" s="142" t="s">
        <v>64</v>
      </c>
      <c r="C221" s="142" t="s">
        <v>1608</v>
      </c>
      <c r="D221" s="142" t="s">
        <v>1609</v>
      </c>
    </row>
    <row r="222" hidden="1">
      <c r="A222" s="155" t="s">
        <v>64</v>
      </c>
      <c r="B222" s="142" t="s">
        <v>16</v>
      </c>
      <c r="C222" s="142" t="s">
        <v>1258</v>
      </c>
      <c r="D222" s="142" t="s">
        <v>1610</v>
      </c>
    </row>
    <row r="223" hidden="1">
      <c r="A223" s="155" t="s">
        <v>66</v>
      </c>
      <c r="B223" s="142" t="s">
        <v>64</v>
      </c>
      <c r="C223" s="142" t="s">
        <v>1258</v>
      </c>
      <c r="D223" s="142" t="s">
        <v>1559</v>
      </c>
    </row>
    <row r="224" hidden="1">
      <c r="A224" s="155" t="s">
        <v>66</v>
      </c>
      <c r="B224" s="142" t="s">
        <v>64</v>
      </c>
      <c r="C224" s="142" t="s">
        <v>1258</v>
      </c>
      <c r="D224" s="142" t="s">
        <v>1611</v>
      </c>
    </row>
    <row r="225" hidden="1">
      <c r="A225" s="155" t="s">
        <v>66</v>
      </c>
      <c r="B225" s="142" t="s">
        <v>64</v>
      </c>
      <c r="C225" s="142" t="s">
        <v>1258</v>
      </c>
      <c r="D225" s="142" t="s">
        <v>1612</v>
      </c>
    </row>
    <row r="226" hidden="1">
      <c r="A226" s="155" t="s">
        <v>66</v>
      </c>
      <c r="B226" s="142" t="s">
        <v>64</v>
      </c>
      <c r="C226" s="142" t="s">
        <v>1258</v>
      </c>
      <c r="D226" s="142" t="s">
        <v>1613</v>
      </c>
    </row>
    <row r="227" hidden="1">
      <c r="A227" s="155" t="s">
        <v>66</v>
      </c>
      <c r="B227" s="142" t="s">
        <v>64</v>
      </c>
      <c r="C227" s="142" t="s">
        <v>1258</v>
      </c>
      <c r="D227" s="142" t="s">
        <v>1614</v>
      </c>
    </row>
    <row r="228" hidden="1">
      <c r="A228" s="155" t="s">
        <v>66</v>
      </c>
      <c r="B228" s="142" t="s">
        <v>64</v>
      </c>
      <c r="C228" s="142" t="s">
        <v>1258</v>
      </c>
      <c r="D228" s="142" t="s">
        <v>1414</v>
      </c>
    </row>
    <row r="229" hidden="1">
      <c r="A229" s="155" t="s">
        <v>66</v>
      </c>
      <c r="B229" s="142" t="s">
        <v>64</v>
      </c>
      <c r="C229" s="142" t="s">
        <v>1258</v>
      </c>
      <c r="D229" s="142" t="s">
        <v>1615</v>
      </c>
    </row>
    <row r="230" hidden="1">
      <c r="A230" s="155" t="s">
        <v>66</v>
      </c>
      <c r="B230" s="142" t="s">
        <v>64</v>
      </c>
      <c r="C230" s="142" t="s">
        <v>1258</v>
      </c>
      <c r="D230" s="142" t="s">
        <v>1616</v>
      </c>
    </row>
    <row r="231" hidden="1">
      <c r="A231" s="155" t="s">
        <v>66</v>
      </c>
      <c r="B231" s="142" t="s">
        <v>64</v>
      </c>
      <c r="C231" s="142" t="s">
        <v>1258</v>
      </c>
      <c r="D231" s="142" t="s">
        <v>1617</v>
      </c>
    </row>
    <row r="232" hidden="1">
      <c r="A232" s="155" t="s">
        <v>66</v>
      </c>
      <c r="B232" s="142" t="s">
        <v>64</v>
      </c>
      <c r="C232" s="142" t="s">
        <v>1258</v>
      </c>
      <c r="D232" s="142" t="s">
        <v>1560</v>
      </c>
    </row>
    <row r="233" hidden="1">
      <c r="A233" s="155" t="s">
        <v>66</v>
      </c>
      <c r="B233" s="142" t="s">
        <v>64</v>
      </c>
      <c r="C233" s="142" t="s">
        <v>1258</v>
      </c>
      <c r="D233" s="142" t="s">
        <v>1618</v>
      </c>
    </row>
    <row r="234" hidden="1">
      <c r="A234" s="155" t="s">
        <v>66</v>
      </c>
      <c r="B234" s="142" t="s">
        <v>64</v>
      </c>
      <c r="C234" s="142" t="s">
        <v>1258</v>
      </c>
      <c r="D234" s="142" t="s">
        <v>1619</v>
      </c>
    </row>
    <row r="235" hidden="1">
      <c r="A235" s="155" t="s">
        <v>66</v>
      </c>
      <c r="B235" s="142" t="s">
        <v>16</v>
      </c>
      <c r="C235" s="142" t="s">
        <v>1258</v>
      </c>
      <c r="D235" s="142" t="s">
        <v>1405</v>
      </c>
    </row>
    <row r="236" hidden="1">
      <c r="A236" s="7" t="s">
        <v>68</v>
      </c>
      <c r="B236" s="142" t="s">
        <v>64</v>
      </c>
      <c r="C236" s="142" t="s">
        <v>1620</v>
      </c>
      <c r="D236" s="142" t="s">
        <v>1621</v>
      </c>
    </row>
    <row r="237" hidden="1">
      <c r="A237" s="7" t="s">
        <v>68</v>
      </c>
      <c r="B237" s="142" t="s">
        <v>64</v>
      </c>
      <c r="C237" s="142" t="s">
        <v>1317</v>
      </c>
      <c r="D237" s="142" t="s">
        <v>1622</v>
      </c>
    </row>
    <row r="238" hidden="1">
      <c r="A238" s="7" t="s">
        <v>68</v>
      </c>
      <c r="B238" s="142" t="s">
        <v>64</v>
      </c>
      <c r="C238" s="142" t="s">
        <v>1258</v>
      </c>
      <c r="D238" s="142" t="s">
        <v>1623</v>
      </c>
    </row>
    <row r="239" hidden="1">
      <c r="A239" s="7" t="s">
        <v>68</v>
      </c>
      <c r="B239" s="142" t="s">
        <v>64</v>
      </c>
      <c r="C239" s="142" t="s">
        <v>1317</v>
      </c>
      <c r="D239" s="142" t="s">
        <v>1624</v>
      </c>
    </row>
    <row r="240" hidden="1">
      <c r="A240" s="7" t="s">
        <v>68</v>
      </c>
      <c r="B240" s="142" t="s">
        <v>64</v>
      </c>
      <c r="C240" s="142" t="s">
        <v>1625</v>
      </c>
      <c r="D240" s="142" t="s">
        <v>1626</v>
      </c>
    </row>
    <row r="241" hidden="1">
      <c r="A241" s="7" t="s">
        <v>68</v>
      </c>
      <c r="B241" s="142" t="s">
        <v>64</v>
      </c>
      <c r="C241" s="142" t="s">
        <v>1317</v>
      </c>
      <c r="D241" s="142" t="s">
        <v>1627</v>
      </c>
    </row>
    <row r="242" hidden="1">
      <c r="A242" s="155" t="s">
        <v>70</v>
      </c>
      <c r="B242" s="142" t="s">
        <v>64</v>
      </c>
      <c r="C242" s="142" t="s">
        <v>1258</v>
      </c>
      <c r="D242" s="142" t="s">
        <v>1628</v>
      </c>
    </row>
    <row r="243" hidden="1">
      <c r="A243" s="155" t="s">
        <v>70</v>
      </c>
      <c r="B243" s="142" t="s">
        <v>64</v>
      </c>
      <c r="C243" s="142" t="s">
        <v>1258</v>
      </c>
      <c r="D243" s="142" t="s">
        <v>1629</v>
      </c>
    </row>
    <row r="244" hidden="1">
      <c r="A244" s="155" t="s">
        <v>70</v>
      </c>
      <c r="B244" s="142" t="s">
        <v>64</v>
      </c>
      <c r="C244" s="142" t="s">
        <v>1258</v>
      </c>
      <c r="D244" s="142" t="s">
        <v>1630</v>
      </c>
    </row>
    <row r="245" hidden="1">
      <c r="A245" s="155" t="s">
        <v>70</v>
      </c>
      <c r="B245" s="142" t="s">
        <v>64</v>
      </c>
      <c r="C245" s="142" t="s">
        <v>1258</v>
      </c>
      <c r="D245" s="142" t="s">
        <v>1631</v>
      </c>
    </row>
    <row r="246" hidden="1">
      <c r="A246" s="155" t="s">
        <v>70</v>
      </c>
      <c r="B246" s="142" t="s">
        <v>64</v>
      </c>
      <c r="C246" s="142" t="s">
        <v>1258</v>
      </c>
      <c r="D246" s="142" t="s">
        <v>1632</v>
      </c>
    </row>
    <row r="247" hidden="1">
      <c r="A247" s="155" t="s">
        <v>70</v>
      </c>
      <c r="B247" s="142" t="s">
        <v>64</v>
      </c>
      <c r="C247" s="142" t="s">
        <v>1258</v>
      </c>
      <c r="D247" s="142" t="s">
        <v>1633</v>
      </c>
    </row>
    <row r="248" hidden="1">
      <c r="A248" s="155" t="s">
        <v>72</v>
      </c>
      <c r="B248" s="142" t="s">
        <v>195</v>
      </c>
      <c r="C248" s="142" t="s">
        <v>1634</v>
      </c>
      <c r="D248" s="142" t="s">
        <v>1635</v>
      </c>
    </row>
    <row r="249" hidden="1">
      <c r="A249" s="155" t="s">
        <v>72</v>
      </c>
      <c r="B249" s="142" t="s">
        <v>219</v>
      </c>
      <c r="C249" s="142" t="s">
        <v>1634</v>
      </c>
      <c r="D249" s="142" t="s">
        <v>1636</v>
      </c>
    </row>
    <row r="250" hidden="1">
      <c r="A250" s="155" t="s">
        <v>72</v>
      </c>
      <c r="B250" s="142" t="s">
        <v>155</v>
      </c>
      <c r="C250" s="142" t="s">
        <v>1634</v>
      </c>
      <c r="D250" s="142" t="s">
        <v>1637</v>
      </c>
    </row>
    <row r="251" hidden="1">
      <c r="A251" s="155" t="s">
        <v>72</v>
      </c>
      <c r="B251" s="142" t="s">
        <v>185</v>
      </c>
      <c r="C251" s="142" t="s">
        <v>1634</v>
      </c>
      <c r="D251" s="142" t="s">
        <v>1638</v>
      </c>
    </row>
    <row r="252" hidden="1">
      <c r="A252" s="155" t="s">
        <v>72</v>
      </c>
      <c r="B252" s="142" t="s">
        <v>227</v>
      </c>
      <c r="C252" s="142" t="s">
        <v>1634</v>
      </c>
      <c r="D252" s="142" t="s">
        <v>1639</v>
      </c>
    </row>
    <row r="253" hidden="1">
      <c r="A253" s="155" t="s">
        <v>72</v>
      </c>
      <c r="B253" s="142" t="s">
        <v>64</v>
      </c>
      <c r="C253" s="142" t="s">
        <v>1634</v>
      </c>
      <c r="D253" s="142" t="s">
        <v>1640</v>
      </c>
    </row>
    <row r="254" hidden="1">
      <c r="A254" s="155" t="s">
        <v>72</v>
      </c>
      <c r="B254" s="142" t="s">
        <v>75</v>
      </c>
      <c r="C254" s="142" t="s">
        <v>1634</v>
      </c>
      <c r="D254" s="142" t="s">
        <v>1641</v>
      </c>
    </row>
    <row r="255" hidden="1">
      <c r="A255" s="155" t="s">
        <v>72</v>
      </c>
      <c r="B255" s="142" t="s">
        <v>16</v>
      </c>
      <c r="C255" s="142" t="s">
        <v>1634</v>
      </c>
      <c r="D255" s="142" t="s">
        <v>1642</v>
      </c>
    </row>
    <row r="256" hidden="1">
      <c r="A256" s="155" t="s">
        <v>72</v>
      </c>
      <c r="B256" s="142" t="s">
        <v>215</v>
      </c>
      <c r="C256" s="142" t="s">
        <v>1634</v>
      </c>
      <c r="D256" s="142" t="s">
        <v>1643</v>
      </c>
    </row>
    <row r="257" hidden="1">
      <c r="A257" s="155" t="s">
        <v>72</v>
      </c>
      <c r="B257" s="142" t="s">
        <v>16</v>
      </c>
      <c r="C257" s="142" t="s">
        <v>1644</v>
      </c>
      <c r="D257" s="155" t="s">
        <v>1645</v>
      </c>
    </row>
    <row r="258" hidden="1">
      <c r="A258" s="155" t="s">
        <v>72</v>
      </c>
      <c r="B258" s="142" t="s">
        <v>75</v>
      </c>
      <c r="C258" s="142" t="s">
        <v>1646</v>
      </c>
      <c r="D258" s="155" t="s">
        <v>1647</v>
      </c>
    </row>
    <row r="259" hidden="1">
      <c r="A259" s="155" t="s">
        <v>72</v>
      </c>
      <c r="B259" s="142" t="s">
        <v>155</v>
      </c>
      <c r="C259" s="142" t="s">
        <v>1646</v>
      </c>
      <c r="D259" s="155" t="s">
        <v>1648</v>
      </c>
    </row>
    <row r="260" hidden="1">
      <c r="A260" s="155" t="s">
        <v>72</v>
      </c>
      <c r="B260" s="142" t="s">
        <v>185</v>
      </c>
      <c r="C260" s="142" t="s">
        <v>1646</v>
      </c>
      <c r="D260" s="155" t="s">
        <v>1649</v>
      </c>
    </row>
    <row r="261" hidden="1">
      <c r="A261" s="155" t="s">
        <v>72</v>
      </c>
      <c r="B261" s="142" t="s">
        <v>195</v>
      </c>
      <c r="C261" s="142" t="s">
        <v>1646</v>
      </c>
      <c r="D261" s="155" t="s">
        <v>1650</v>
      </c>
    </row>
    <row r="262" hidden="1">
      <c r="A262" s="155" t="s">
        <v>72</v>
      </c>
      <c r="B262" s="142" t="s">
        <v>215</v>
      </c>
      <c r="C262" s="142" t="s">
        <v>1646</v>
      </c>
      <c r="D262" s="155" t="s">
        <v>1651</v>
      </c>
    </row>
    <row r="263" hidden="1">
      <c r="A263" s="155" t="s">
        <v>72</v>
      </c>
      <c r="B263" s="142" t="s">
        <v>219</v>
      </c>
      <c r="C263" s="142" t="s">
        <v>1646</v>
      </c>
      <c r="D263" s="155" t="s">
        <v>1652</v>
      </c>
    </row>
    <row r="264" hidden="1">
      <c r="A264" s="155" t="s">
        <v>72</v>
      </c>
      <c r="B264" s="142" t="s">
        <v>227</v>
      </c>
      <c r="C264" s="142" t="s">
        <v>1646</v>
      </c>
      <c r="D264" s="155" t="s">
        <v>1653</v>
      </c>
    </row>
    <row r="265" hidden="1">
      <c r="A265" s="155" t="s">
        <v>72</v>
      </c>
      <c r="B265" s="142" t="s">
        <v>237</v>
      </c>
      <c r="C265" s="142" t="s">
        <v>1644</v>
      </c>
      <c r="D265" s="142" t="s">
        <v>236</v>
      </c>
    </row>
    <row r="266">
      <c r="A266" s="155" t="s">
        <v>74</v>
      </c>
      <c r="B266" s="142" t="s">
        <v>75</v>
      </c>
      <c r="C266" s="142" t="s">
        <v>1258</v>
      </c>
      <c r="D266" s="142" t="s">
        <v>1654</v>
      </c>
    </row>
    <row r="267">
      <c r="A267" s="155" t="s">
        <v>74</v>
      </c>
      <c r="B267" s="142" t="s">
        <v>75</v>
      </c>
      <c r="C267" s="142" t="s">
        <v>1258</v>
      </c>
      <c r="D267" s="142" t="s">
        <v>1655</v>
      </c>
    </row>
    <row r="268">
      <c r="A268" s="155" t="s">
        <v>74</v>
      </c>
      <c r="B268" s="142" t="s">
        <v>75</v>
      </c>
      <c r="C268" s="142" t="s">
        <v>1258</v>
      </c>
      <c r="D268" s="142" t="s">
        <v>1656</v>
      </c>
    </row>
    <row r="269">
      <c r="A269" s="155" t="s">
        <v>74</v>
      </c>
      <c r="B269" s="142" t="s">
        <v>75</v>
      </c>
      <c r="C269" s="142" t="s">
        <v>1258</v>
      </c>
      <c r="D269" s="142" t="s">
        <v>1657</v>
      </c>
    </row>
    <row r="270">
      <c r="A270" s="155" t="s">
        <v>74</v>
      </c>
      <c r="B270" s="142" t="s">
        <v>75</v>
      </c>
      <c r="C270" s="142" t="s">
        <v>1258</v>
      </c>
      <c r="D270" s="142" t="s">
        <v>1658</v>
      </c>
    </row>
    <row r="271">
      <c r="A271" s="155" t="s">
        <v>74</v>
      </c>
      <c r="B271" s="142" t="s">
        <v>75</v>
      </c>
      <c r="C271" s="142" t="s">
        <v>1258</v>
      </c>
      <c r="D271" s="142" t="s">
        <v>1659</v>
      </c>
    </row>
    <row r="272">
      <c r="A272" s="155" t="s">
        <v>74</v>
      </c>
      <c r="B272" s="142" t="s">
        <v>75</v>
      </c>
      <c r="C272" s="142" t="s">
        <v>1258</v>
      </c>
      <c r="D272" s="142" t="s">
        <v>1660</v>
      </c>
    </row>
    <row r="273">
      <c r="A273" s="155" t="s">
        <v>74</v>
      </c>
      <c r="B273" s="142" t="s">
        <v>75</v>
      </c>
      <c r="C273" s="142" t="s">
        <v>1258</v>
      </c>
      <c r="D273" s="142" t="s">
        <v>1661</v>
      </c>
    </row>
    <row r="274">
      <c r="A274" s="155" t="s">
        <v>77</v>
      </c>
      <c r="B274" s="142" t="s">
        <v>1662</v>
      </c>
      <c r="C274" s="142" t="s">
        <v>1258</v>
      </c>
      <c r="D274" s="142" t="s">
        <v>1663</v>
      </c>
    </row>
    <row r="275">
      <c r="A275" s="155" t="s">
        <v>77</v>
      </c>
      <c r="B275" s="142" t="s">
        <v>1167</v>
      </c>
      <c r="C275" s="142" t="s">
        <v>1664</v>
      </c>
      <c r="D275" s="142" t="s">
        <v>1665</v>
      </c>
    </row>
    <row r="276">
      <c r="A276" s="155" t="s">
        <v>77</v>
      </c>
      <c r="B276" s="142" t="s">
        <v>1165</v>
      </c>
      <c r="C276" s="142" t="s">
        <v>1258</v>
      </c>
      <c r="D276" s="142" t="s">
        <v>1666</v>
      </c>
    </row>
    <row r="277">
      <c r="A277" s="7" t="s">
        <v>79</v>
      </c>
      <c r="B277" s="142" t="s">
        <v>75</v>
      </c>
      <c r="C277" s="142" t="s">
        <v>1258</v>
      </c>
      <c r="D277" s="142" t="s">
        <v>1667</v>
      </c>
    </row>
    <row r="278">
      <c r="A278" s="7" t="s">
        <v>79</v>
      </c>
      <c r="B278" s="142" t="s">
        <v>75</v>
      </c>
      <c r="C278" s="142" t="s">
        <v>1258</v>
      </c>
      <c r="D278" s="142" t="s">
        <v>1668</v>
      </c>
    </row>
    <row r="279">
      <c r="A279" s="7" t="s">
        <v>79</v>
      </c>
      <c r="B279" s="142" t="s">
        <v>75</v>
      </c>
      <c r="C279" s="142" t="s">
        <v>1258</v>
      </c>
      <c r="D279" s="142" t="s">
        <v>1669</v>
      </c>
    </row>
    <row r="280">
      <c r="A280" s="7" t="s">
        <v>79</v>
      </c>
      <c r="B280" s="142" t="s">
        <v>75</v>
      </c>
      <c r="C280" s="142" t="s">
        <v>1258</v>
      </c>
      <c r="D280" s="142" t="s">
        <v>1670</v>
      </c>
    </row>
    <row r="281">
      <c r="A281" s="7" t="s">
        <v>79</v>
      </c>
      <c r="B281" s="142" t="s">
        <v>1165</v>
      </c>
      <c r="C281" s="142" t="s">
        <v>1258</v>
      </c>
      <c r="D281" s="142" t="s">
        <v>1671</v>
      </c>
    </row>
    <row r="282">
      <c r="A282" s="7" t="s">
        <v>79</v>
      </c>
      <c r="B282" s="142" t="s">
        <v>1167</v>
      </c>
      <c r="C282" s="142" t="s">
        <v>1258</v>
      </c>
      <c r="D282" s="142" t="s">
        <v>1585</v>
      </c>
    </row>
    <row r="283">
      <c r="A283" s="7" t="s">
        <v>79</v>
      </c>
      <c r="B283" s="142" t="s">
        <v>1167</v>
      </c>
      <c r="C283" s="142" t="s">
        <v>1258</v>
      </c>
      <c r="D283" s="142" t="s">
        <v>1672</v>
      </c>
    </row>
    <row r="284">
      <c r="A284" s="155" t="s">
        <v>81</v>
      </c>
      <c r="B284" s="142" t="s">
        <v>637</v>
      </c>
      <c r="C284" s="142" t="s">
        <v>1258</v>
      </c>
      <c r="D284" s="142" t="s">
        <v>1673</v>
      </c>
    </row>
    <row r="285">
      <c r="A285" s="155" t="s">
        <v>81</v>
      </c>
      <c r="B285" s="142" t="s">
        <v>75</v>
      </c>
      <c r="C285" s="142" t="s">
        <v>1258</v>
      </c>
      <c r="D285" s="142" t="s">
        <v>1673</v>
      </c>
    </row>
    <row r="286">
      <c r="A286" s="155" t="s">
        <v>81</v>
      </c>
      <c r="B286" s="142" t="s">
        <v>16</v>
      </c>
      <c r="C286" s="142" t="s">
        <v>1258</v>
      </c>
      <c r="D286" s="142" t="s">
        <v>1673</v>
      </c>
    </row>
    <row r="287">
      <c r="A287" s="155" t="s">
        <v>81</v>
      </c>
      <c r="B287" s="142" t="s">
        <v>1165</v>
      </c>
      <c r="C287" s="142" t="s">
        <v>1258</v>
      </c>
      <c r="D287" s="142" t="s">
        <v>1673</v>
      </c>
    </row>
    <row r="288">
      <c r="A288" s="155" t="s">
        <v>81</v>
      </c>
      <c r="B288" s="142" t="s">
        <v>633</v>
      </c>
      <c r="C288" s="142" t="s">
        <v>1258</v>
      </c>
      <c r="D288" s="142" t="s">
        <v>1674</v>
      </c>
    </row>
    <row r="289">
      <c r="A289" s="155" t="s">
        <v>81</v>
      </c>
      <c r="B289" s="142" t="s">
        <v>1165</v>
      </c>
      <c r="C289" s="142" t="s">
        <v>1258</v>
      </c>
      <c r="D289" s="142" t="s">
        <v>1675</v>
      </c>
    </row>
    <row r="290">
      <c r="A290" s="155" t="s">
        <v>81</v>
      </c>
      <c r="B290" s="142" t="s">
        <v>1165</v>
      </c>
      <c r="C290" s="142" t="s">
        <v>1258</v>
      </c>
      <c r="D290" s="142" t="s">
        <v>1676</v>
      </c>
    </row>
    <row r="291">
      <c r="A291" s="7" t="s">
        <v>83</v>
      </c>
      <c r="B291" s="142" t="s">
        <v>16</v>
      </c>
      <c r="C291" s="139" t="s">
        <v>1601</v>
      </c>
      <c r="D291" s="139" t="s">
        <v>1677</v>
      </c>
    </row>
    <row r="292">
      <c r="A292" s="7" t="s">
        <v>83</v>
      </c>
      <c r="B292" s="142" t="s">
        <v>75</v>
      </c>
      <c r="C292" s="139" t="s">
        <v>1601</v>
      </c>
      <c r="D292" s="139" t="s">
        <v>1677</v>
      </c>
    </row>
    <row r="293">
      <c r="A293" s="7" t="s">
        <v>83</v>
      </c>
      <c r="B293" s="142" t="s">
        <v>633</v>
      </c>
      <c r="C293" s="139" t="s">
        <v>1258</v>
      </c>
      <c r="D293" s="139" t="s">
        <v>1678</v>
      </c>
    </row>
    <row r="294">
      <c r="A294" s="155" t="s">
        <v>86</v>
      </c>
      <c r="B294" s="142" t="s">
        <v>1164</v>
      </c>
      <c r="C294" s="139" t="s">
        <v>1258</v>
      </c>
      <c r="D294" s="139" t="s">
        <v>1679</v>
      </c>
    </row>
    <row r="295">
      <c r="A295" s="155" t="s">
        <v>86</v>
      </c>
      <c r="B295" s="142" t="s">
        <v>1164</v>
      </c>
      <c r="C295" s="139" t="s">
        <v>1258</v>
      </c>
      <c r="D295" s="139" t="s">
        <v>1680</v>
      </c>
    </row>
    <row r="296">
      <c r="A296" s="155" t="s">
        <v>86</v>
      </c>
      <c r="B296" s="142" t="s">
        <v>1164</v>
      </c>
      <c r="C296" s="139" t="s">
        <v>1681</v>
      </c>
      <c r="D296" s="139" t="s">
        <v>1682</v>
      </c>
    </row>
    <row r="297">
      <c r="A297" s="155" t="s">
        <v>86</v>
      </c>
      <c r="B297" s="142" t="s">
        <v>1164</v>
      </c>
      <c r="C297" s="139" t="s">
        <v>1683</v>
      </c>
      <c r="D297" s="139" t="s">
        <v>1684</v>
      </c>
    </row>
    <row r="298">
      <c r="A298" s="155" t="s">
        <v>86</v>
      </c>
      <c r="B298" s="142" t="s">
        <v>1164</v>
      </c>
      <c r="C298" s="139" t="s">
        <v>1685</v>
      </c>
      <c r="D298" s="139" t="s">
        <v>1152</v>
      </c>
    </row>
    <row r="299">
      <c r="A299" s="155" t="s">
        <v>86</v>
      </c>
      <c r="B299" s="142" t="s">
        <v>1164</v>
      </c>
      <c r="C299" s="139" t="s">
        <v>1258</v>
      </c>
      <c r="D299" s="139" t="s">
        <v>1686</v>
      </c>
    </row>
    <row r="300">
      <c r="A300" s="155" t="s">
        <v>86</v>
      </c>
      <c r="B300" s="142" t="s">
        <v>1164</v>
      </c>
      <c r="C300" s="139" t="s">
        <v>1258</v>
      </c>
      <c r="D300" s="139" t="s">
        <v>1687</v>
      </c>
    </row>
    <row r="301">
      <c r="A301" s="155" t="s">
        <v>86</v>
      </c>
      <c r="B301" s="142" t="s">
        <v>1164</v>
      </c>
      <c r="C301" s="139" t="s">
        <v>1258</v>
      </c>
      <c r="D301" s="139" t="s">
        <v>1688</v>
      </c>
    </row>
    <row r="302">
      <c r="A302" s="155" t="s">
        <v>86</v>
      </c>
      <c r="B302" s="142" t="s">
        <v>1164</v>
      </c>
      <c r="C302" s="139" t="s">
        <v>1258</v>
      </c>
      <c r="D302" s="139" t="s">
        <v>1689</v>
      </c>
    </row>
    <row r="303">
      <c r="A303" s="155" t="s">
        <v>86</v>
      </c>
      <c r="B303" s="142" t="s">
        <v>1230</v>
      </c>
      <c r="C303" s="139" t="s">
        <v>1258</v>
      </c>
      <c r="D303" s="139" t="s">
        <v>1432</v>
      </c>
    </row>
    <row r="304">
      <c r="A304" s="155" t="s">
        <v>86</v>
      </c>
      <c r="B304" s="142" t="s">
        <v>1230</v>
      </c>
      <c r="C304" s="139" t="s">
        <v>1258</v>
      </c>
      <c r="D304" s="139" t="s">
        <v>1690</v>
      </c>
    </row>
    <row r="305">
      <c r="A305" s="155" t="s">
        <v>86</v>
      </c>
      <c r="B305" s="142" t="s">
        <v>1230</v>
      </c>
      <c r="C305" s="139" t="s">
        <v>1258</v>
      </c>
      <c r="D305" s="139" t="s">
        <v>1691</v>
      </c>
    </row>
    <row r="306">
      <c r="A306" s="155" t="s">
        <v>86</v>
      </c>
      <c r="B306" s="142" t="s">
        <v>1230</v>
      </c>
      <c r="C306" s="139" t="s">
        <v>1258</v>
      </c>
      <c r="D306" s="139" t="s">
        <v>1692</v>
      </c>
    </row>
    <row r="307">
      <c r="A307" s="155" t="s">
        <v>86</v>
      </c>
      <c r="B307" s="142" t="s">
        <v>1230</v>
      </c>
      <c r="C307" s="139" t="s">
        <v>1258</v>
      </c>
      <c r="D307" s="139" t="s">
        <v>1693</v>
      </c>
    </row>
    <row r="308">
      <c r="A308" s="155" t="s">
        <v>86</v>
      </c>
      <c r="B308" s="142" t="s">
        <v>1230</v>
      </c>
      <c r="C308" s="139" t="s">
        <v>1258</v>
      </c>
      <c r="D308" s="139" t="s">
        <v>1415</v>
      </c>
    </row>
    <row r="309">
      <c r="A309" s="155" t="s">
        <v>86</v>
      </c>
      <c r="B309" s="142" t="s">
        <v>1230</v>
      </c>
      <c r="C309" s="139" t="s">
        <v>1258</v>
      </c>
      <c r="D309" s="139" t="s">
        <v>1694</v>
      </c>
    </row>
    <row r="310">
      <c r="A310" s="155" t="s">
        <v>86</v>
      </c>
      <c r="B310" s="142" t="s">
        <v>1230</v>
      </c>
      <c r="C310" s="139" t="s">
        <v>1258</v>
      </c>
      <c r="D310" s="139" t="s">
        <v>1695</v>
      </c>
    </row>
    <row r="311">
      <c r="A311" s="155" t="s">
        <v>86</v>
      </c>
      <c r="B311" s="142" t="s">
        <v>1230</v>
      </c>
      <c r="C311" s="139" t="s">
        <v>1258</v>
      </c>
      <c r="D311" s="139" t="s">
        <v>1696</v>
      </c>
    </row>
    <row r="312">
      <c r="A312" s="155" t="s">
        <v>86</v>
      </c>
      <c r="B312" s="142" t="s">
        <v>1230</v>
      </c>
      <c r="C312" s="139" t="s">
        <v>1258</v>
      </c>
      <c r="D312" s="139" t="s">
        <v>1697</v>
      </c>
    </row>
    <row r="313">
      <c r="A313" s="155" t="s">
        <v>86</v>
      </c>
      <c r="B313" s="142" t="s">
        <v>1152</v>
      </c>
      <c r="C313" s="139" t="s">
        <v>1698</v>
      </c>
      <c r="D313" s="139" t="s">
        <v>1164</v>
      </c>
    </row>
    <row r="314">
      <c r="A314" s="155" t="s">
        <v>86</v>
      </c>
      <c r="B314" s="142" t="s">
        <v>1152</v>
      </c>
      <c r="C314" s="139" t="s">
        <v>1248</v>
      </c>
      <c r="D314" s="139" t="s">
        <v>1164</v>
      </c>
    </row>
    <row r="315">
      <c r="A315" s="155" t="s">
        <v>88</v>
      </c>
      <c r="B315" s="142" t="s">
        <v>1175</v>
      </c>
      <c r="C315" s="139" t="s">
        <v>1258</v>
      </c>
      <c r="D315" s="139" t="s">
        <v>1699</v>
      </c>
    </row>
    <row r="316">
      <c r="A316" s="155" t="s">
        <v>88</v>
      </c>
      <c r="B316" s="142" t="s">
        <v>1175</v>
      </c>
      <c r="C316" s="139" t="s">
        <v>1258</v>
      </c>
      <c r="D316" s="139" t="s">
        <v>1700</v>
      </c>
    </row>
    <row r="317">
      <c r="A317" s="155" t="s">
        <v>88</v>
      </c>
      <c r="B317" s="142" t="s">
        <v>1175</v>
      </c>
      <c r="C317" s="139" t="s">
        <v>1258</v>
      </c>
      <c r="D317" s="139" t="s">
        <v>1544</v>
      </c>
    </row>
    <row r="318">
      <c r="A318" s="155" t="s">
        <v>88</v>
      </c>
      <c r="B318" s="142" t="s">
        <v>1175</v>
      </c>
      <c r="C318" s="139" t="s">
        <v>1258</v>
      </c>
      <c r="D318" s="139" t="s">
        <v>1701</v>
      </c>
    </row>
    <row r="319">
      <c r="A319" s="155" t="s">
        <v>88</v>
      </c>
      <c r="B319" s="142" t="s">
        <v>1175</v>
      </c>
      <c r="C319" s="139" t="s">
        <v>1258</v>
      </c>
      <c r="D319" s="139" t="s">
        <v>1702</v>
      </c>
    </row>
    <row r="320">
      <c r="A320" s="155" t="s">
        <v>90</v>
      </c>
      <c r="B320" s="142" t="s">
        <v>75</v>
      </c>
      <c r="C320" s="139" t="s">
        <v>1703</v>
      </c>
      <c r="D320" s="139" t="s">
        <v>1704</v>
      </c>
    </row>
    <row r="321">
      <c r="A321" s="155" t="s">
        <v>90</v>
      </c>
      <c r="B321" s="142" t="s">
        <v>16</v>
      </c>
      <c r="C321" s="139" t="s">
        <v>1705</v>
      </c>
      <c r="D321" s="139" t="s">
        <v>1706</v>
      </c>
    </row>
    <row r="322">
      <c r="A322" s="155" t="s">
        <v>90</v>
      </c>
      <c r="B322" s="142" t="s">
        <v>1152</v>
      </c>
      <c r="C322" s="139" t="s">
        <v>1258</v>
      </c>
      <c r="D322" s="139" t="s">
        <v>1415</v>
      </c>
    </row>
    <row r="323">
      <c r="A323" s="155" t="s">
        <v>90</v>
      </c>
      <c r="B323" s="142" t="s">
        <v>633</v>
      </c>
      <c r="C323" s="139" t="s">
        <v>1258</v>
      </c>
      <c r="D323" s="139" t="s">
        <v>1674</v>
      </c>
    </row>
    <row r="324">
      <c r="A324" s="155" t="s">
        <v>90</v>
      </c>
      <c r="B324" s="142" t="s">
        <v>75</v>
      </c>
      <c r="C324" s="139" t="s">
        <v>1258</v>
      </c>
      <c r="D324" s="139" t="s">
        <v>1707</v>
      </c>
    </row>
    <row r="325">
      <c r="A325" s="155" t="s">
        <v>90</v>
      </c>
      <c r="B325" s="142" t="s">
        <v>75</v>
      </c>
      <c r="C325" s="139" t="s">
        <v>1317</v>
      </c>
      <c r="D325" s="139" t="s">
        <v>1708</v>
      </c>
    </row>
    <row r="326">
      <c r="A326" s="155" t="s">
        <v>90</v>
      </c>
      <c r="B326" s="142" t="s">
        <v>75</v>
      </c>
      <c r="C326" s="139" t="s">
        <v>1258</v>
      </c>
      <c r="D326" s="139" t="s">
        <v>1709</v>
      </c>
    </row>
    <row r="327">
      <c r="A327" s="7" t="s">
        <v>92</v>
      </c>
      <c r="B327" s="142" t="s">
        <v>1175</v>
      </c>
      <c r="C327" s="139" t="s">
        <v>1258</v>
      </c>
      <c r="D327" s="139" t="s">
        <v>1710</v>
      </c>
    </row>
    <row r="328">
      <c r="A328" s="7" t="s">
        <v>92</v>
      </c>
      <c r="B328" s="142" t="s">
        <v>1175</v>
      </c>
      <c r="C328" s="139" t="s">
        <v>1258</v>
      </c>
      <c r="D328" s="139" t="s">
        <v>1711</v>
      </c>
    </row>
    <row r="329">
      <c r="A329" s="7" t="s">
        <v>92</v>
      </c>
      <c r="B329" s="142" t="s">
        <v>1238</v>
      </c>
      <c r="C329" s="139" t="s">
        <v>1258</v>
      </c>
      <c r="D329" s="139" t="s">
        <v>1712</v>
      </c>
    </row>
    <row r="330">
      <c r="A330" s="7" t="s">
        <v>92</v>
      </c>
      <c r="B330" s="142" t="s">
        <v>1238</v>
      </c>
      <c r="C330" s="139" t="s">
        <v>1317</v>
      </c>
      <c r="D330" s="139" t="s">
        <v>1713</v>
      </c>
    </row>
    <row r="331">
      <c r="A331" s="7" t="s">
        <v>92</v>
      </c>
      <c r="B331" s="142" t="s">
        <v>1238</v>
      </c>
      <c r="C331" s="139" t="s">
        <v>1317</v>
      </c>
      <c r="D331" s="139" t="s">
        <v>1714</v>
      </c>
    </row>
    <row r="332">
      <c r="A332" s="7" t="s">
        <v>92</v>
      </c>
      <c r="B332" s="142" t="s">
        <v>1238</v>
      </c>
      <c r="C332" s="139" t="s">
        <v>1258</v>
      </c>
      <c r="D332" s="139" t="s">
        <v>1615</v>
      </c>
    </row>
    <row r="333">
      <c r="A333" s="7" t="s">
        <v>92</v>
      </c>
      <c r="B333" s="142" t="s">
        <v>1238</v>
      </c>
      <c r="C333" s="139" t="s">
        <v>1258</v>
      </c>
      <c r="D333" s="139" t="s">
        <v>1715</v>
      </c>
    </row>
    <row r="334">
      <c r="A334" s="7" t="s">
        <v>92</v>
      </c>
      <c r="B334" s="142" t="s">
        <v>1238</v>
      </c>
      <c r="C334" s="139" t="s">
        <v>1258</v>
      </c>
      <c r="D334" s="139" t="s">
        <v>1716</v>
      </c>
    </row>
    <row r="335">
      <c r="A335" s="7" t="s">
        <v>92</v>
      </c>
      <c r="B335" s="142" t="s">
        <v>633</v>
      </c>
      <c r="C335" s="139" t="s">
        <v>1258</v>
      </c>
      <c r="D335" s="139" t="s">
        <v>1716</v>
      </c>
    </row>
    <row r="336">
      <c r="A336" s="7" t="s">
        <v>92</v>
      </c>
      <c r="B336" s="142" t="s">
        <v>1238</v>
      </c>
      <c r="C336" s="139" t="s">
        <v>1258</v>
      </c>
      <c r="D336" s="139" t="s">
        <v>1717</v>
      </c>
    </row>
    <row r="337">
      <c r="A337" s="7" t="s">
        <v>92</v>
      </c>
      <c r="B337" s="142" t="s">
        <v>633</v>
      </c>
      <c r="C337" s="139" t="s">
        <v>1258</v>
      </c>
      <c r="D337" s="139" t="s">
        <v>1718</v>
      </c>
    </row>
    <row r="338">
      <c r="A338" s="155" t="s">
        <v>1719</v>
      </c>
      <c r="B338" s="142" t="s">
        <v>1238</v>
      </c>
      <c r="C338" s="139" t="s">
        <v>1258</v>
      </c>
      <c r="D338" s="139" t="s">
        <v>1696</v>
      </c>
    </row>
    <row r="339">
      <c r="A339" s="155" t="s">
        <v>1719</v>
      </c>
      <c r="B339" s="142" t="s">
        <v>1238</v>
      </c>
      <c r="C339" s="139" t="s">
        <v>1258</v>
      </c>
      <c r="D339" s="139" t="s">
        <v>1720</v>
      </c>
    </row>
    <row r="340">
      <c r="A340" s="155" t="s">
        <v>1719</v>
      </c>
      <c r="B340" s="142" t="s">
        <v>1175</v>
      </c>
      <c r="C340" s="139" t="s">
        <v>1721</v>
      </c>
      <c r="D340" s="139" t="s">
        <v>1588</v>
      </c>
    </row>
    <row r="341">
      <c r="A341" s="155" t="s">
        <v>1719</v>
      </c>
      <c r="B341" s="142" t="s">
        <v>1175</v>
      </c>
      <c r="C341" s="155" t="s">
        <v>1258</v>
      </c>
      <c r="D341" s="155" t="s">
        <v>1722</v>
      </c>
    </row>
    <row r="342">
      <c r="A342" s="155" t="s">
        <v>1719</v>
      </c>
      <c r="B342" s="142" t="s">
        <v>1175</v>
      </c>
      <c r="C342" s="155" t="s">
        <v>1258</v>
      </c>
      <c r="D342" s="155" t="s">
        <v>1723</v>
      </c>
    </row>
    <row r="343">
      <c r="A343" s="155" t="s">
        <v>95</v>
      </c>
      <c r="B343" s="142" t="s">
        <v>16</v>
      </c>
      <c r="C343" s="139" t="s">
        <v>1317</v>
      </c>
      <c r="D343" s="139" t="s">
        <v>1604</v>
      </c>
    </row>
    <row r="344">
      <c r="A344" s="155" t="s">
        <v>95</v>
      </c>
      <c r="B344" s="142" t="s">
        <v>16</v>
      </c>
      <c r="C344" s="139" t="s">
        <v>1317</v>
      </c>
      <c r="D344" s="139" t="s">
        <v>1724</v>
      </c>
    </row>
    <row r="345">
      <c r="A345" s="155" t="s">
        <v>95</v>
      </c>
      <c r="B345" s="142" t="s">
        <v>64</v>
      </c>
      <c r="C345" s="139" t="s">
        <v>1258</v>
      </c>
      <c r="D345" s="139" t="s">
        <v>1640</v>
      </c>
    </row>
    <row r="346">
      <c r="A346" s="155" t="s">
        <v>95</v>
      </c>
      <c r="B346" s="142" t="s">
        <v>64</v>
      </c>
      <c r="C346" s="139" t="s">
        <v>1258</v>
      </c>
      <c r="D346" s="139" t="s">
        <v>1725</v>
      </c>
    </row>
    <row r="347">
      <c r="A347" s="155" t="s">
        <v>95</v>
      </c>
      <c r="B347" s="142" t="s">
        <v>64</v>
      </c>
      <c r="C347" s="139" t="s">
        <v>1258</v>
      </c>
      <c r="D347" s="139" t="s">
        <v>1414</v>
      </c>
    </row>
    <row r="348">
      <c r="A348" s="155" t="s">
        <v>95</v>
      </c>
      <c r="B348" s="142" t="s">
        <v>64</v>
      </c>
      <c r="C348" s="139" t="s">
        <v>1258</v>
      </c>
      <c r="D348" s="139" t="s">
        <v>1726</v>
      </c>
    </row>
    <row r="349">
      <c r="A349" s="155" t="s">
        <v>95</v>
      </c>
      <c r="B349" s="142" t="s">
        <v>64</v>
      </c>
      <c r="C349" s="139" t="s">
        <v>1258</v>
      </c>
      <c r="D349" s="139" t="s">
        <v>1727</v>
      </c>
    </row>
    <row r="350">
      <c r="A350" s="155" t="s">
        <v>95</v>
      </c>
      <c r="B350" s="142" t="s">
        <v>64</v>
      </c>
      <c r="C350" s="139" t="s">
        <v>1258</v>
      </c>
      <c r="D350" s="139" t="s">
        <v>1728</v>
      </c>
    </row>
    <row r="351">
      <c r="A351" s="155" t="s">
        <v>95</v>
      </c>
      <c r="B351" s="142" t="s">
        <v>64</v>
      </c>
      <c r="C351" s="139" t="s">
        <v>1258</v>
      </c>
      <c r="D351" s="139" t="s">
        <v>1729</v>
      </c>
    </row>
    <row r="352">
      <c r="A352" s="155" t="s">
        <v>95</v>
      </c>
      <c r="B352" s="142" t="s">
        <v>64</v>
      </c>
      <c r="C352" s="139" t="s">
        <v>1258</v>
      </c>
      <c r="D352" s="139" t="s">
        <v>1730</v>
      </c>
    </row>
    <row r="353">
      <c r="A353" s="7" t="s">
        <v>96</v>
      </c>
      <c r="B353" s="142" t="s">
        <v>64</v>
      </c>
      <c r="C353" s="139" t="s">
        <v>1258</v>
      </c>
      <c r="D353" s="139" t="s">
        <v>1731</v>
      </c>
    </row>
    <row r="354">
      <c r="A354" s="7" t="s">
        <v>96</v>
      </c>
      <c r="B354" s="142" t="s">
        <v>64</v>
      </c>
      <c r="C354" s="139" t="s">
        <v>1258</v>
      </c>
      <c r="D354" s="139" t="s">
        <v>1732</v>
      </c>
    </row>
    <row r="355">
      <c r="A355" s="7" t="s">
        <v>96</v>
      </c>
      <c r="B355" s="142" t="s">
        <v>64</v>
      </c>
      <c r="C355" s="139" t="s">
        <v>1733</v>
      </c>
      <c r="D355" s="139" t="s">
        <v>96</v>
      </c>
    </row>
    <row r="356">
      <c r="A356" s="7" t="s">
        <v>96</v>
      </c>
      <c r="B356" s="142" t="s">
        <v>64</v>
      </c>
      <c r="C356" s="139" t="s">
        <v>1258</v>
      </c>
      <c r="D356" s="139" t="s">
        <v>1734</v>
      </c>
    </row>
    <row r="357">
      <c r="A357" s="7" t="s">
        <v>96</v>
      </c>
      <c r="B357" s="142" t="s">
        <v>64</v>
      </c>
      <c r="C357" s="139" t="s">
        <v>1258</v>
      </c>
      <c r="D357" s="139" t="s">
        <v>1696</v>
      </c>
    </row>
    <row r="358">
      <c r="A358" s="7" t="s">
        <v>96</v>
      </c>
      <c r="B358" s="142" t="s">
        <v>64</v>
      </c>
      <c r="C358" s="139" t="s">
        <v>1733</v>
      </c>
      <c r="D358" s="139" t="s">
        <v>1735</v>
      </c>
    </row>
    <row r="359">
      <c r="A359" s="155" t="s">
        <v>97</v>
      </c>
      <c r="B359" s="142" t="s">
        <v>58</v>
      </c>
      <c r="C359" s="139" t="s">
        <v>1258</v>
      </c>
      <c r="D359" s="139" t="s">
        <v>1412</v>
      </c>
    </row>
    <row r="360">
      <c r="A360" s="155" t="s">
        <v>97</v>
      </c>
      <c r="B360" s="142" t="s">
        <v>58</v>
      </c>
      <c r="C360" s="139" t="s">
        <v>1258</v>
      </c>
      <c r="D360" s="139" t="s">
        <v>1615</v>
      </c>
    </row>
    <row r="361">
      <c r="A361" s="155" t="s">
        <v>97</v>
      </c>
      <c r="B361" s="142" t="s">
        <v>58</v>
      </c>
      <c r="C361" s="139" t="s">
        <v>1258</v>
      </c>
      <c r="D361" s="139" t="s">
        <v>1736</v>
      </c>
    </row>
    <row r="362">
      <c r="A362" s="155" t="s">
        <v>97</v>
      </c>
      <c r="B362" s="142" t="s">
        <v>58</v>
      </c>
      <c r="C362" s="139" t="s">
        <v>1258</v>
      </c>
      <c r="D362" s="139" t="s">
        <v>1710</v>
      </c>
    </row>
    <row r="363">
      <c r="A363" s="155" t="s">
        <v>97</v>
      </c>
      <c r="B363" s="142" t="s">
        <v>16</v>
      </c>
      <c r="C363" s="139" t="s">
        <v>1258</v>
      </c>
      <c r="D363" s="139" t="s">
        <v>1737</v>
      </c>
    </row>
    <row r="364">
      <c r="A364" s="155" t="s">
        <v>97</v>
      </c>
      <c r="B364" s="142" t="s">
        <v>16</v>
      </c>
      <c r="C364" s="139" t="s">
        <v>1258</v>
      </c>
      <c r="D364" s="139" t="s">
        <v>1415</v>
      </c>
    </row>
    <row r="365">
      <c r="A365" s="155" t="s">
        <v>97</v>
      </c>
      <c r="B365" s="142" t="s">
        <v>16</v>
      </c>
      <c r="C365" s="139" t="s">
        <v>1258</v>
      </c>
      <c r="D365" s="139" t="s">
        <v>1738</v>
      </c>
    </row>
    <row r="366">
      <c r="A366" s="155" t="s">
        <v>100</v>
      </c>
      <c r="B366" s="142" t="s">
        <v>58</v>
      </c>
      <c r="C366" s="139" t="s">
        <v>1258</v>
      </c>
      <c r="D366" s="139" t="s">
        <v>1739</v>
      </c>
    </row>
    <row r="367">
      <c r="A367" s="155" t="s">
        <v>100</v>
      </c>
      <c r="B367" s="142" t="s">
        <v>58</v>
      </c>
      <c r="C367" s="139" t="s">
        <v>1258</v>
      </c>
      <c r="D367" s="139" t="s">
        <v>1409</v>
      </c>
    </row>
    <row r="368">
      <c r="A368" s="155" t="s">
        <v>100</v>
      </c>
      <c r="B368" s="142" t="s">
        <v>58</v>
      </c>
      <c r="C368" s="139" t="s">
        <v>1258</v>
      </c>
      <c r="D368" s="139" t="s">
        <v>1712</v>
      </c>
    </row>
    <row r="369">
      <c r="A369" s="155" t="s">
        <v>100</v>
      </c>
      <c r="B369" s="142" t="s">
        <v>58</v>
      </c>
      <c r="C369" s="139" t="s">
        <v>1258</v>
      </c>
      <c r="D369" s="139" t="s">
        <v>1740</v>
      </c>
    </row>
    <row r="370">
      <c r="A370" s="155" t="s">
        <v>100</v>
      </c>
      <c r="B370" s="142" t="s">
        <v>58</v>
      </c>
      <c r="C370" s="139" t="s">
        <v>1258</v>
      </c>
      <c r="D370" s="139" t="s">
        <v>1580</v>
      </c>
    </row>
    <row r="371">
      <c r="A371" s="155" t="s">
        <v>100</v>
      </c>
      <c r="B371" s="142" t="s">
        <v>16</v>
      </c>
      <c r="C371" s="139" t="s">
        <v>1258</v>
      </c>
      <c r="D371" s="139" t="s">
        <v>1741</v>
      </c>
    </row>
    <row r="372">
      <c r="A372" s="155" t="s">
        <v>100</v>
      </c>
      <c r="B372" s="142" t="s">
        <v>16</v>
      </c>
      <c r="C372" s="139" t="s">
        <v>1258</v>
      </c>
      <c r="D372" s="139" t="s">
        <v>1742</v>
      </c>
    </row>
    <row r="373">
      <c r="A373" s="7" t="s">
        <v>102</v>
      </c>
      <c r="B373" s="142" t="s">
        <v>1189</v>
      </c>
      <c r="C373" s="139" t="s">
        <v>1258</v>
      </c>
      <c r="D373" s="139" t="s">
        <v>1743</v>
      </c>
    </row>
    <row r="374">
      <c r="A374" s="7" t="s">
        <v>102</v>
      </c>
      <c r="B374" s="142" t="s">
        <v>1189</v>
      </c>
      <c r="C374" s="139" t="s">
        <v>1258</v>
      </c>
      <c r="D374" s="139" t="s">
        <v>1744</v>
      </c>
    </row>
    <row r="375">
      <c r="A375" s="7" t="s">
        <v>102</v>
      </c>
      <c r="B375" s="142" t="s">
        <v>1189</v>
      </c>
      <c r="C375" s="139" t="s">
        <v>1258</v>
      </c>
      <c r="D375" s="139" t="s">
        <v>1745</v>
      </c>
    </row>
    <row r="376">
      <c r="A376" s="7" t="s">
        <v>102</v>
      </c>
      <c r="B376" s="142" t="s">
        <v>1746</v>
      </c>
      <c r="C376" s="139" t="s">
        <v>1747</v>
      </c>
      <c r="D376" s="139" t="s">
        <v>1748</v>
      </c>
    </row>
    <row r="377">
      <c r="A377" s="7" t="s">
        <v>102</v>
      </c>
      <c r="B377" s="142" t="s">
        <v>16</v>
      </c>
      <c r="C377" s="139" t="s">
        <v>1749</v>
      </c>
      <c r="D377" s="139" t="s">
        <v>1750</v>
      </c>
    </row>
    <row r="378">
      <c r="A378" s="155"/>
      <c r="B378" s="142"/>
      <c r="C378" s="155"/>
      <c r="D378" s="155"/>
    </row>
    <row r="379">
      <c r="A379" s="155"/>
      <c r="B379" s="142" t="s">
        <v>637</v>
      </c>
      <c r="C379" s="155" t="s">
        <v>1317</v>
      </c>
      <c r="D379" s="155" t="s">
        <v>1751</v>
      </c>
    </row>
    <row r="380">
      <c r="A380" s="155"/>
      <c r="B380" s="7" t="s">
        <v>64</v>
      </c>
      <c r="C380" s="155" t="s">
        <v>1258</v>
      </c>
      <c r="D380" s="155" t="s">
        <v>1752</v>
      </c>
    </row>
    <row r="381">
      <c r="A381" s="155"/>
      <c r="B381" s="7" t="s">
        <v>64</v>
      </c>
      <c r="C381" s="155" t="s">
        <v>1258</v>
      </c>
      <c r="D381" s="155" t="s">
        <v>1560</v>
      </c>
    </row>
    <row r="382">
      <c r="A382" s="155"/>
      <c r="B382" s="7" t="s">
        <v>64</v>
      </c>
      <c r="C382" s="155" t="s">
        <v>1258</v>
      </c>
      <c r="D382" s="155" t="s">
        <v>1753</v>
      </c>
    </row>
    <row r="383">
      <c r="A383" s="155"/>
      <c r="B383" s="7" t="s">
        <v>64</v>
      </c>
      <c r="C383" s="155" t="s">
        <v>1317</v>
      </c>
      <c r="D383" s="155" t="s">
        <v>1754</v>
      </c>
    </row>
    <row r="384">
      <c r="A384" s="155"/>
      <c r="B384" s="7" t="s">
        <v>64</v>
      </c>
      <c r="C384" s="155" t="s">
        <v>1403</v>
      </c>
      <c r="D384" s="155" t="s">
        <v>1755</v>
      </c>
    </row>
    <row r="385">
      <c r="A385" s="155"/>
      <c r="B385" s="7" t="s">
        <v>64</v>
      </c>
      <c r="C385" s="155" t="s">
        <v>1147</v>
      </c>
      <c r="D385" s="155" t="s">
        <v>1756</v>
      </c>
    </row>
    <row r="386">
      <c r="A386" s="155"/>
      <c r="B386" s="7" t="s">
        <v>64</v>
      </c>
      <c r="C386" s="155" t="s">
        <v>1403</v>
      </c>
      <c r="D386" s="155" t="s">
        <v>1755</v>
      </c>
    </row>
    <row r="387">
      <c r="A387" s="155"/>
      <c r="B387" s="7" t="s">
        <v>64</v>
      </c>
      <c r="C387" s="155" t="s">
        <v>1403</v>
      </c>
      <c r="D387" s="155" t="s">
        <v>1757</v>
      </c>
    </row>
    <row r="388">
      <c r="A388" s="155"/>
      <c r="B388" s="7" t="s">
        <v>132</v>
      </c>
      <c r="C388" s="155" t="s">
        <v>1258</v>
      </c>
      <c r="D388" s="155" t="s">
        <v>1758</v>
      </c>
    </row>
    <row r="389">
      <c r="A389" s="155"/>
      <c r="B389" s="7" t="s">
        <v>132</v>
      </c>
      <c r="C389" s="155" t="s">
        <v>1317</v>
      </c>
      <c r="D389" s="155" t="s">
        <v>1759</v>
      </c>
    </row>
    <row r="390">
      <c r="A390" s="155"/>
      <c r="B390" s="7" t="s">
        <v>132</v>
      </c>
      <c r="C390" s="155" t="s">
        <v>1317</v>
      </c>
      <c r="D390" s="155" t="s">
        <v>1760</v>
      </c>
    </row>
    <row r="391">
      <c r="A391" s="155"/>
      <c r="B391" s="7" t="s">
        <v>132</v>
      </c>
      <c r="C391" s="155" t="s">
        <v>1403</v>
      </c>
      <c r="D391" s="155" t="s">
        <v>1761</v>
      </c>
    </row>
    <row r="392">
      <c r="A392" s="155"/>
      <c r="B392" s="7" t="s">
        <v>132</v>
      </c>
      <c r="C392" s="155" t="s">
        <v>1317</v>
      </c>
      <c r="D392" s="155" t="s">
        <v>1762</v>
      </c>
    </row>
    <row r="393">
      <c r="A393" s="155"/>
      <c r="B393" s="7" t="s">
        <v>132</v>
      </c>
      <c r="C393" s="155" t="s">
        <v>1317</v>
      </c>
      <c r="D393" s="155" t="s">
        <v>1763</v>
      </c>
    </row>
    <row r="394">
      <c r="A394" s="155"/>
      <c r="B394" s="7" t="s">
        <v>132</v>
      </c>
      <c r="C394" s="155" t="s">
        <v>1317</v>
      </c>
      <c r="D394" s="155" t="s">
        <v>1764</v>
      </c>
    </row>
    <row r="395">
      <c r="A395" s="155"/>
      <c r="B395" s="7" t="s">
        <v>132</v>
      </c>
      <c r="C395" s="155" t="s">
        <v>1317</v>
      </c>
      <c r="D395" s="155" t="s">
        <v>1765</v>
      </c>
    </row>
    <row r="396">
      <c r="A396" s="155"/>
      <c r="B396" s="7" t="s">
        <v>132</v>
      </c>
      <c r="C396" s="155" t="s">
        <v>1258</v>
      </c>
      <c r="D396" s="155" t="s">
        <v>1766</v>
      </c>
    </row>
    <row r="397">
      <c r="A397" s="155"/>
      <c r="B397" s="7" t="s">
        <v>132</v>
      </c>
      <c r="C397" s="155" t="s">
        <v>1258</v>
      </c>
      <c r="D397" s="155" t="s">
        <v>1767</v>
      </c>
    </row>
    <row r="398">
      <c r="A398" s="155"/>
      <c r="B398" s="7" t="s">
        <v>16</v>
      </c>
      <c r="C398" s="155" t="s">
        <v>1258</v>
      </c>
      <c r="D398" s="155" t="s">
        <v>1768</v>
      </c>
    </row>
    <row r="399">
      <c r="A399" s="155"/>
      <c r="B399" s="7" t="s">
        <v>16</v>
      </c>
      <c r="C399" s="155" t="s">
        <v>1258</v>
      </c>
      <c r="D399" s="155" t="s">
        <v>1769</v>
      </c>
    </row>
    <row r="400">
      <c r="A400" s="155"/>
      <c r="B400" s="7" t="s">
        <v>16</v>
      </c>
      <c r="C400" s="155" t="s">
        <v>1258</v>
      </c>
      <c r="D400" s="155" t="s">
        <v>1770</v>
      </c>
    </row>
    <row r="401">
      <c r="A401" s="155"/>
      <c r="B401" s="7" t="s">
        <v>16</v>
      </c>
      <c r="C401" s="155" t="s">
        <v>1317</v>
      </c>
      <c r="D401" s="155" t="s">
        <v>1645</v>
      </c>
    </row>
    <row r="402">
      <c r="A402" s="155"/>
      <c r="B402" s="7" t="s">
        <v>16</v>
      </c>
      <c r="C402" s="155" t="s">
        <v>1258</v>
      </c>
      <c r="D402" s="155" t="s">
        <v>1771</v>
      </c>
    </row>
    <row r="403">
      <c r="A403" s="155"/>
      <c r="B403" s="7" t="s">
        <v>16</v>
      </c>
      <c r="C403" s="155" t="s">
        <v>1317</v>
      </c>
      <c r="D403" s="155" t="s">
        <v>1772</v>
      </c>
    </row>
    <row r="404">
      <c r="A404" s="155"/>
      <c r="B404" s="7" t="s">
        <v>16</v>
      </c>
      <c r="C404" s="155" t="s">
        <v>1317</v>
      </c>
      <c r="D404" s="155" t="s">
        <v>1773</v>
      </c>
    </row>
    <row r="405">
      <c r="A405" s="155"/>
      <c r="B405" s="7" t="s">
        <v>75</v>
      </c>
      <c r="C405" s="155" t="s">
        <v>1258</v>
      </c>
      <c r="D405" s="155" t="s">
        <v>1774</v>
      </c>
    </row>
    <row r="406">
      <c r="A406" s="155"/>
      <c r="B406" s="7" t="s">
        <v>75</v>
      </c>
      <c r="C406" s="155" t="s">
        <v>1258</v>
      </c>
      <c r="D406" s="155" t="s">
        <v>1775</v>
      </c>
    </row>
    <row r="407">
      <c r="A407" s="155"/>
      <c r="B407" s="7" t="s">
        <v>75</v>
      </c>
      <c r="C407" s="155" t="s">
        <v>1258</v>
      </c>
      <c r="D407" s="155" t="s">
        <v>1776</v>
      </c>
    </row>
    <row r="408">
      <c r="A408" s="155"/>
      <c r="B408" s="7" t="s">
        <v>75</v>
      </c>
      <c r="C408" s="155" t="s">
        <v>1317</v>
      </c>
      <c r="D408" s="155" t="s">
        <v>1777</v>
      </c>
    </row>
    <row r="409">
      <c r="A409" s="155"/>
      <c r="B409" s="7" t="s">
        <v>75</v>
      </c>
      <c r="C409" s="155" t="s">
        <v>1403</v>
      </c>
      <c r="D409" s="155" t="s">
        <v>1778</v>
      </c>
    </row>
    <row r="410">
      <c r="A410" s="155"/>
      <c r="B410" s="7" t="s">
        <v>75</v>
      </c>
      <c r="C410" s="155" t="s">
        <v>1258</v>
      </c>
      <c r="D410" s="155" t="s">
        <v>1779</v>
      </c>
    </row>
    <row r="411">
      <c r="A411" s="155"/>
      <c r="B411" s="7" t="s">
        <v>75</v>
      </c>
      <c r="C411" s="155" t="s">
        <v>1317</v>
      </c>
      <c r="D411" s="155" t="s">
        <v>1780</v>
      </c>
    </row>
    <row r="412">
      <c r="A412" s="155"/>
      <c r="B412" s="7" t="s">
        <v>155</v>
      </c>
      <c r="C412" s="155" t="s">
        <v>1258</v>
      </c>
      <c r="D412" s="155" t="s">
        <v>1717</v>
      </c>
    </row>
    <row r="413">
      <c r="A413" s="155"/>
      <c r="B413" s="7" t="s">
        <v>155</v>
      </c>
      <c r="C413" s="155" t="s">
        <v>1258</v>
      </c>
      <c r="D413" s="155" t="s">
        <v>1687</v>
      </c>
    </row>
    <row r="414">
      <c r="A414" s="155"/>
      <c r="B414" s="7" t="s">
        <v>155</v>
      </c>
      <c r="C414" s="155" t="s">
        <v>1258</v>
      </c>
      <c r="D414" s="155" t="s">
        <v>1776</v>
      </c>
    </row>
    <row r="415">
      <c r="A415" s="155"/>
      <c r="B415" s="7" t="s">
        <v>155</v>
      </c>
      <c r="C415" s="155" t="s">
        <v>1317</v>
      </c>
      <c r="D415" s="155" t="s">
        <v>1781</v>
      </c>
    </row>
    <row r="416">
      <c r="A416" s="155"/>
      <c r="B416" s="7" t="s">
        <v>155</v>
      </c>
      <c r="C416" s="155" t="s">
        <v>1317</v>
      </c>
      <c r="D416" s="155" t="s">
        <v>1782</v>
      </c>
    </row>
    <row r="417">
      <c r="A417" s="155"/>
      <c r="B417" s="7" t="s">
        <v>155</v>
      </c>
      <c r="C417" s="155" t="s">
        <v>1258</v>
      </c>
      <c r="D417" s="155" t="s">
        <v>1718</v>
      </c>
    </row>
    <row r="418">
      <c r="A418" s="155"/>
      <c r="B418" s="7" t="s">
        <v>155</v>
      </c>
      <c r="C418" s="155" t="s">
        <v>1317</v>
      </c>
      <c r="D418" s="155" t="s">
        <v>1783</v>
      </c>
    </row>
    <row r="419">
      <c r="A419" s="155"/>
      <c r="B419" s="7" t="s">
        <v>155</v>
      </c>
      <c r="C419" s="155" t="s">
        <v>1317</v>
      </c>
      <c r="D419" s="155" t="s">
        <v>1784</v>
      </c>
    </row>
    <row r="420">
      <c r="A420" s="155"/>
      <c r="B420" s="7" t="s">
        <v>155</v>
      </c>
      <c r="C420" s="155" t="s">
        <v>1258</v>
      </c>
      <c r="D420" s="155" t="s">
        <v>1785</v>
      </c>
    </row>
    <row r="421">
      <c r="A421" s="155"/>
      <c r="B421" s="7" t="s">
        <v>155</v>
      </c>
      <c r="C421" s="155" t="s">
        <v>1317</v>
      </c>
      <c r="D421" s="155" t="s">
        <v>1786</v>
      </c>
    </row>
    <row r="422">
      <c r="A422" s="155"/>
      <c r="B422" s="7" t="s">
        <v>155</v>
      </c>
      <c r="C422" s="155" t="s">
        <v>1317</v>
      </c>
      <c r="D422" s="155" t="s">
        <v>1787</v>
      </c>
    </row>
    <row r="423">
      <c r="A423" s="155"/>
      <c r="B423" s="7" t="s">
        <v>185</v>
      </c>
      <c r="C423" s="155" t="s">
        <v>1258</v>
      </c>
      <c r="D423" s="155" t="s">
        <v>1788</v>
      </c>
    </row>
    <row r="424">
      <c r="A424" s="155"/>
      <c r="B424" s="7" t="s">
        <v>185</v>
      </c>
      <c r="C424" s="155" t="s">
        <v>1258</v>
      </c>
      <c r="D424" s="155" t="s">
        <v>1789</v>
      </c>
    </row>
    <row r="425">
      <c r="A425" s="155"/>
      <c r="B425" s="7" t="s">
        <v>185</v>
      </c>
      <c r="C425" s="155" t="s">
        <v>1258</v>
      </c>
      <c r="D425" s="155" t="s">
        <v>1790</v>
      </c>
    </row>
    <row r="426">
      <c r="A426" s="155"/>
      <c r="B426" s="7" t="s">
        <v>185</v>
      </c>
      <c r="C426" s="155" t="s">
        <v>1258</v>
      </c>
      <c r="D426" s="155" t="s">
        <v>1686</v>
      </c>
    </row>
    <row r="427">
      <c r="A427" s="155"/>
      <c r="B427" s="7" t="s">
        <v>185</v>
      </c>
      <c r="C427" s="155" t="s">
        <v>1258</v>
      </c>
      <c r="D427" s="155" t="s">
        <v>1791</v>
      </c>
    </row>
    <row r="428">
      <c r="A428" s="155"/>
      <c r="B428" s="7" t="s">
        <v>185</v>
      </c>
      <c r="C428" s="155" t="s">
        <v>1317</v>
      </c>
      <c r="D428" s="155" t="s">
        <v>1792</v>
      </c>
    </row>
    <row r="429">
      <c r="A429" s="155"/>
      <c r="B429" s="7" t="s">
        <v>195</v>
      </c>
      <c r="C429" s="155" t="s">
        <v>1258</v>
      </c>
      <c r="D429" s="155" t="s">
        <v>1793</v>
      </c>
    </row>
    <row r="430">
      <c r="A430" s="155"/>
      <c r="B430" s="7" t="s">
        <v>195</v>
      </c>
      <c r="C430" s="155" t="s">
        <v>1258</v>
      </c>
      <c r="D430" s="155" t="s">
        <v>1794</v>
      </c>
    </row>
    <row r="431">
      <c r="A431" s="155"/>
      <c r="B431" s="7" t="s">
        <v>195</v>
      </c>
      <c r="C431" s="155" t="s">
        <v>1258</v>
      </c>
      <c r="D431" s="155" t="s">
        <v>1767</v>
      </c>
    </row>
    <row r="432">
      <c r="A432" s="155"/>
      <c r="B432" s="7" t="s">
        <v>195</v>
      </c>
      <c r="C432" s="155" t="s">
        <v>1317</v>
      </c>
      <c r="D432" s="155" t="s">
        <v>1650</v>
      </c>
    </row>
    <row r="433">
      <c r="A433" s="155"/>
      <c r="B433" s="7" t="s">
        <v>195</v>
      </c>
      <c r="C433" s="155" t="s">
        <v>1317</v>
      </c>
      <c r="D433" s="155" t="s">
        <v>1795</v>
      </c>
    </row>
    <row r="434">
      <c r="A434" s="155"/>
      <c r="B434" s="7" t="s">
        <v>195</v>
      </c>
      <c r="C434" s="155" t="s">
        <v>1258</v>
      </c>
      <c r="D434" s="155" t="s">
        <v>1796</v>
      </c>
    </row>
    <row r="435">
      <c r="A435" s="155"/>
      <c r="B435" s="7" t="s">
        <v>195</v>
      </c>
      <c r="C435" s="155" t="s">
        <v>1258</v>
      </c>
      <c r="D435" s="155" t="s">
        <v>1797</v>
      </c>
    </row>
    <row r="436">
      <c r="A436" s="155"/>
      <c r="B436" s="7" t="s">
        <v>215</v>
      </c>
      <c r="C436" s="155" t="s">
        <v>1258</v>
      </c>
      <c r="D436" s="155" t="s">
        <v>1798</v>
      </c>
    </row>
    <row r="437">
      <c r="A437" s="155"/>
      <c r="B437" s="7" t="s">
        <v>215</v>
      </c>
      <c r="C437" s="155" t="s">
        <v>1258</v>
      </c>
      <c r="D437" s="155" t="s">
        <v>1655</v>
      </c>
    </row>
    <row r="438">
      <c r="A438" s="155"/>
      <c r="B438" s="7" t="s">
        <v>215</v>
      </c>
      <c r="C438" s="155" t="s">
        <v>1258</v>
      </c>
      <c r="D438" s="155" t="s">
        <v>1789</v>
      </c>
    </row>
    <row r="439">
      <c r="A439" s="155"/>
      <c r="B439" s="7" t="s">
        <v>215</v>
      </c>
      <c r="C439" s="155" t="s">
        <v>1258</v>
      </c>
      <c r="D439" s="155" t="s">
        <v>1799</v>
      </c>
    </row>
    <row r="440">
      <c r="A440" s="155"/>
      <c r="B440" s="7" t="s">
        <v>215</v>
      </c>
      <c r="C440" s="155" t="s">
        <v>1317</v>
      </c>
      <c r="D440" s="155" t="s">
        <v>1800</v>
      </c>
    </row>
    <row r="441">
      <c r="A441" s="155"/>
      <c r="B441" s="7" t="s">
        <v>215</v>
      </c>
      <c r="C441" s="155" t="s">
        <v>1317</v>
      </c>
      <c r="D441" s="155" t="s">
        <v>1762</v>
      </c>
    </row>
    <row r="442">
      <c r="A442" s="155"/>
      <c r="B442" s="7" t="s">
        <v>215</v>
      </c>
      <c r="C442" s="155" t="s">
        <v>1317</v>
      </c>
      <c r="D442" s="155" t="s">
        <v>1781</v>
      </c>
    </row>
    <row r="443">
      <c r="A443" s="155"/>
      <c r="B443" s="7" t="s">
        <v>215</v>
      </c>
      <c r="C443" s="155" t="s">
        <v>1317</v>
      </c>
      <c r="D443" s="155" t="s">
        <v>1801</v>
      </c>
    </row>
    <row r="444">
      <c r="A444" s="155"/>
      <c r="B444" s="7" t="s">
        <v>219</v>
      </c>
      <c r="C444" s="155" t="s">
        <v>1258</v>
      </c>
      <c r="D444" s="155" t="s">
        <v>1802</v>
      </c>
    </row>
    <row r="445">
      <c r="A445" s="155"/>
      <c r="B445" s="7" t="s">
        <v>219</v>
      </c>
      <c r="C445" s="155" t="s">
        <v>1258</v>
      </c>
      <c r="D445" s="155" t="s">
        <v>1789</v>
      </c>
    </row>
    <row r="446">
      <c r="A446" s="155"/>
      <c r="B446" s="7" t="s">
        <v>219</v>
      </c>
      <c r="C446" s="155" t="s">
        <v>1258</v>
      </c>
      <c r="D446" s="155" t="s">
        <v>1803</v>
      </c>
    </row>
    <row r="447">
      <c r="A447" s="155"/>
      <c r="B447" s="7" t="s">
        <v>219</v>
      </c>
      <c r="C447" s="155" t="s">
        <v>1317</v>
      </c>
      <c r="D447" s="155" t="s">
        <v>1652</v>
      </c>
    </row>
    <row r="448">
      <c r="A448" s="155"/>
      <c r="B448" s="7" t="s">
        <v>219</v>
      </c>
      <c r="C448" s="155" t="s">
        <v>1317</v>
      </c>
      <c r="D448" s="155" t="s">
        <v>1804</v>
      </c>
    </row>
    <row r="449">
      <c r="A449" s="155"/>
      <c r="B449" s="7" t="s">
        <v>219</v>
      </c>
      <c r="C449" s="155" t="s">
        <v>1258</v>
      </c>
      <c r="D449" s="155" t="s">
        <v>1805</v>
      </c>
    </row>
    <row r="450">
      <c r="A450" s="155"/>
      <c r="B450" s="7" t="s">
        <v>219</v>
      </c>
      <c r="C450" s="155" t="s">
        <v>1258</v>
      </c>
      <c r="D450" s="155" t="s">
        <v>1756</v>
      </c>
    </row>
    <row r="451">
      <c r="A451" s="155"/>
      <c r="B451" s="7" t="s">
        <v>227</v>
      </c>
      <c r="C451" s="155" t="s">
        <v>1258</v>
      </c>
      <c r="D451" s="155" t="s">
        <v>1752</v>
      </c>
    </row>
    <row r="452">
      <c r="A452" s="155"/>
      <c r="B452" s="7" t="s">
        <v>227</v>
      </c>
      <c r="C452" s="155" t="s">
        <v>1258</v>
      </c>
      <c r="D452" s="155" t="s">
        <v>1806</v>
      </c>
    </row>
    <row r="453">
      <c r="A453" s="155"/>
      <c r="B453" s="7" t="s">
        <v>227</v>
      </c>
      <c r="C453" s="155" t="s">
        <v>1258</v>
      </c>
      <c r="D453" s="155" t="s">
        <v>1807</v>
      </c>
    </row>
    <row r="454">
      <c r="A454" s="155"/>
      <c r="B454" s="7" t="s">
        <v>227</v>
      </c>
      <c r="C454" s="155" t="s">
        <v>1317</v>
      </c>
      <c r="D454" s="155" t="s">
        <v>1808</v>
      </c>
    </row>
    <row r="455">
      <c r="A455" s="155"/>
      <c r="B455" s="7" t="s">
        <v>227</v>
      </c>
      <c r="C455" s="155" t="s">
        <v>1317</v>
      </c>
      <c r="D455" s="155" t="s">
        <v>1809</v>
      </c>
    </row>
    <row r="456">
      <c r="A456" s="155"/>
      <c r="B456" s="7" t="s">
        <v>227</v>
      </c>
      <c r="C456" s="155" t="s">
        <v>1317</v>
      </c>
      <c r="D456" s="155" t="s">
        <v>1653</v>
      </c>
    </row>
    <row r="457">
      <c r="A457" s="155"/>
      <c r="B457" s="7" t="s">
        <v>227</v>
      </c>
      <c r="C457" s="155" t="s">
        <v>1317</v>
      </c>
      <c r="D457" s="155" t="s">
        <v>1810</v>
      </c>
    </row>
    <row r="458">
      <c r="A458" s="155"/>
      <c r="B458" s="7" t="s">
        <v>227</v>
      </c>
      <c r="C458" s="155" t="s">
        <v>1258</v>
      </c>
      <c r="D458" s="155" t="s">
        <v>1811</v>
      </c>
    </row>
    <row r="459">
      <c r="A459" s="155"/>
      <c r="B459" s="7" t="s">
        <v>227</v>
      </c>
      <c r="C459" s="155" t="s">
        <v>1258</v>
      </c>
      <c r="D459" s="155" t="s">
        <v>1812</v>
      </c>
    </row>
    <row r="460">
      <c r="A460" s="155"/>
      <c r="B460" s="7" t="s">
        <v>227</v>
      </c>
      <c r="C460" s="155" t="s">
        <v>1258</v>
      </c>
      <c r="D460" s="155" t="s">
        <v>1573</v>
      </c>
    </row>
    <row r="461">
      <c r="A461" s="155"/>
      <c r="B461" s="7" t="s">
        <v>237</v>
      </c>
      <c r="C461" s="155" t="s">
        <v>1258</v>
      </c>
      <c r="D461" s="155" t="s">
        <v>1813</v>
      </c>
    </row>
    <row r="462">
      <c r="A462" s="155"/>
      <c r="B462" s="7" t="s">
        <v>237</v>
      </c>
      <c r="C462" s="155" t="s">
        <v>1258</v>
      </c>
      <c r="D462" s="155" t="s">
        <v>1814</v>
      </c>
    </row>
    <row r="463">
      <c r="A463" s="155"/>
      <c r="B463" s="7" t="s">
        <v>237</v>
      </c>
      <c r="C463" s="155" t="s">
        <v>1258</v>
      </c>
      <c r="D463" s="155" t="s">
        <v>1812</v>
      </c>
    </row>
    <row r="464">
      <c r="A464" s="155"/>
      <c r="B464" s="7" t="s">
        <v>237</v>
      </c>
      <c r="C464" s="155" t="s">
        <v>1317</v>
      </c>
      <c r="D464" s="155" t="s">
        <v>1815</v>
      </c>
    </row>
    <row r="465">
      <c r="A465" s="155"/>
      <c r="B465" s="7" t="s">
        <v>237</v>
      </c>
      <c r="C465" s="155" t="s">
        <v>1258</v>
      </c>
      <c r="D465" s="155" t="s">
        <v>1805</v>
      </c>
    </row>
    <row r="466">
      <c r="A466" s="155"/>
      <c r="B466" s="7" t="s">
        <v>237</v>
      </c>
      <c r="C466" s="155" t="s">
        <v>1258</v>
      </c>
      <c r="D466" s="155" t="s">
        <v>1816</v>
      </c>
    </row>
    <row r="467">
      <c r="A467" s="155"/>
      <c r="B467" s="7" t="s">
        <v>152</v>
      </c>
      <c r="C467" s="155" t="s">
        <v>1258</v>
      </c>
      <c r="D467" s="155" t="s">
        <v>1817</v>
      </c>
    </row>
    <row r="468">
      <c r="A468" s="155"/>
      <c r="B468" s="7" t="s">
        <v>152</v>
      </c>
      <c r="C468" s="155" t="s">
        <v>1258</v>
      </c>
      <c r="D468" s="155" t="s">
        <v>1803</v>
      </c>
    </row>
    <row r="469">
      <c r="A469" s="155"/>
      <c r="B469" s="7" t="s">
        <v>152</v>
      </c>
      <c r="C469" s="155" t="s">
        <v>1258</v>
      </c>
      <c r="D469" s="155" t="s">
        <v>1818</v>
      </c>
    </row>
    <row r="470">
      <c r="A470" s="155"/>
      <c r="B470" s="7" t="s">
        <v>152</v>
      </c>
      <c r="C470" s="155" t="s">
        <v>1317</v>
      </c>
      <c r="D470" s="155" t="s">
        <v>1804</v>
      </c>
    </row>
    <row r="471">
      <c r="A471" s="155"/>
      <c r="B471" s="7" t="s">
        <v>152</v>
      </c>
      <c r="C471" s="155" t="s">
        <v>1317</v>
      </c>
      <c r="D471" s="155" t="s">
        <v>1819</v>
      </c>
    </row>
    <row r="472">
      <c r="A472" s="155"/>
      <c r="B472" s="7" t="s">
        <v>152</v>
      </c>
      <c r="C472" s="155" t="s">
        <v>1317</v>
      </c>
      <c r="D472" s="155" t="s">
        <v>1820</v>
      </c>
    </row>
    <row r="473">
      <c r="A473" s="155"/>
      <c r="B473" s="7" t="s">
        <v>152</v>
      </c>
      <c r="C473" s="155" t="s">
        <v>1258</v>
      </c>
      <c r="D473" s="155" t="s">
        <v>1821</v>
      </c>
    </row>
    <row r="474">
      <c r="A474" s="155"/>
      <c r="B474" s="7" t="s">
        <v>152</v>
      </c>
      <c r="C474" s="155" t="s">
        <v>1317</v>
      </c>
      <c r="D474" s="155" t="s">
        <v>1822</v>
      </c>
    </row>
    <row r="475">
      <c r="A475" s="155"/>
      <c r="B475" s="142"/>
      <c r="C475" s="142"/>
      <c r="D475" s="142"/>
    </row>
    <row r="476">
      <c r="A476" s="155" t="s">
        <v>20</v>
      </c>
      <c r="B476" s="142" t="s">
        <v>1823</v>
      </c>
      <c r="C476" s="155" t="s">
        <v>1317</v>
      </c>
      <c r="D476" s="155" t="s">
        <v>1824</v>
      </c>
    </row>
    <row r="477">
      <c r="A477" s="155" t="s">
        <v>20</v>
      </c>
      <c r="B477" s="142" t="s">
        <v>1823</v>
      </c>
      <c r="C477" s="155" t="s">
        <v>1317</v>
      </c>
      <c r="D477" s="155" t="s">
        <v>1825</v>
      </c>
    </row>
    <row r="478">
      <c r="A478" s="155" t="s">
        <v>20</v>
      </c>
      <c r="B478" s="142" t="s">
        <v>1826</v>
      </c>
      <c r="C478" s="142" t="s">
        <v>1827</v>
      </c>
      <c r="D478" s="155" t="s">
        <v>1828</v>
      </c>
    </row>
    <row r="479">
      <c r="A479" s="155" t="s">
        <v>22</v>
      </c>
      <c r="B479" s="142" t="s">
        <v>22</v>
      </c>
      <c r="C479" s="155" t="s">
        <v>1258</v>
      </c>
      <c r="D479" s="142" t="s">
        <v>1829</v>
      </c>
    </row>
    <row r="480">
      <c r="A480" s="155" t="s">
        <v>22</v>
      </c>
      <c r="B480" s="142" t="s">
        <v>22</v>
      </c>
      <c r="C480" s="155" t="s">
        <v>1258</v>
      </c>
      <c r="D480" s="142" t="s">
        <v>1830</v>
      </c>
    </row>
    <row r="481">
      <c r="A481" s="155" t="s">
        <v>25</v>
      </c>
      <c r="B481" s="155" t="s">
        <v>25</v>
      </c>
      <c r="C481" s="155" t="s">
        <v>1317</v>
      </c>
      <c r="D481" s="155" t="s">
        <v>1831</v>
      </c>
    </row>
    <row r="482">
      <c r="A482" s="155" t="s">
        <v>25</v>
      </c>
      <c r="B482" s="155" t="s">
        <v>25</v>
      </c>
      <c r="C482" s="155" t="s">
        <v>1317</v>
      </c>
      <c r="D482" s="155" t="s">
        <v>1832</v>
      </c>
    </row>
    <row r="483">
      <c r="A483" s="155" t="s">
        <v>25</v>
      </c>
      <c r="B483" s="155" t="s">
        <v>25</v>
      </c>
      <c r="C483" s="155" t="s">
        <v>1317</v>
      </c>
      <c r="D483" s="155" t="s">
        <v>1833</v>
      </c>
    </row>
    <row r="484">
      <c r="A484" s="155" t="s">
        <v>25</v>
      </c>
      <c r="B484" s="155" t="s">
        <v>25</v>
      </c>
      <c r="C484" s="155" t="s">
        <v>1317</v>
      </c>
      <c r="D484" s="155" t="s">
        <v>1834</v>
      </c>
    </row>
    <row r="485">
      <c r="A485" s="155" t="s">
        <v>25</v>
      </c>
      <c r="B485" s="155" t="s">
        <v>25</v>
      </c>
      <c r="C485" s="155" t="s">
        <v>1317</v>
      </c>
      <c r="D485" s="155" t="s">
        <v>1835</v>
      </c>
    </row>
    <row r="486">
      <c r="A486" s="155" t="s">
        <v>25</v>
      </c>
      <c r="B486" s="155" t="s">
        <v>25</v>
      </c>
      <c r="C486" s="155" t="s">
        <v>1317</v>
      </c>
      <c r="D486" s="155" t="s">
        <v>1836</v>
      </c>
    </row>
    <row r="487">
      <c r="A487" s="155" t="s">
        <v>25</v>
      </c>
      <c r="B487" s="155" t="s">
        <v>25</v>
      </c>
      <c r="C487" s="155" t="s">
        <v>1837</v>
      </c>
      <c r="D487" s="155" t="s">
        <v>1838</v>
      </c>
    </row>
    <row r="488">
      <c r="A488" s="155" t="s">
        <v>25</v>
      </c>
      <c r="B488" s="155" t="s">
        <v>25</v>
      </c>
      <c r="C488" s="155" t="s">
        <v>1839</v>
      </c>
      <c r="D488" s="155" t="s">
        <v>1840</v>
      </c>
    </row>
    <row r="489">
      <c r="A489" s="155" t="s">
        <v>37</v>
      </c>
      <c r="B489" s="142" t="s">
        <v>804</v>
      </c>
      <c r="C489" s="142" t="s">
        <v>1841</v>
      </c>
      <c r="D489" s="142" t="s">
        <v>1842</v>
      </c>
    </row>
    <row r="490">
      <c r="A490" s="155" t="s">
        <v>43</v>
      </c>
      <c r="B490" s="142" t="s">
        <v>801</v>
      </c>
      <c r="C490" s="142" t="s">
        <v>1317</v>
      </c>
      <c r="D490" s="142" t="s">
        <v>1843</v>
      </c>
    </row>
    <row r="491">
      <c r="A491" s="155" t="s">
        <v>43</v>
      </c>
      <c r="B491" s="142" t="s">
        <v>801</v>
      </c>
      <c r="C491" s="142" t="s">
        <v>1317</v>
      </c>
      <c r="D491" s="142" t="s">
        <v>1844</v>
      </c>
    </row>
    <row r="492">
      <c r="A492" s="155" t="s">
        <v>46</v>
      </c>
      <c r="B492" s="142" t="s">
        <v>46</v>
      </c>
      <c r="C492" s="142" t="s">
        <v>1845</v>
      </c>
      <c r="D492" s="155" t="s">
        <v>1846</v>
      </c>
    </row>
    <row r="493">
      <c r="A493" s="155" t="s">
        <v>51</v>
      </c>
      <c r="B493" s="142" t="s">
        <v>1847</v>
      </c>
      <c r="C493" s="142" t="s">
        <v>1848</v>
      </c>
      <c r="D493" s="142" t="s">
        <v>1849</v>
      </c>
    </row>
    <row r="494">
      <c r="A494" s="155" t="s">
        <v>51</v>
      </c>
      <c r="B494" s="142" t="s">
        <v>1847</v>
      </c>
      <c r="C494" s="142" t="s">
        <v>1317</v>
      </c>
      <c r="D494" s="142" t="s">
        <v>1850</v>
      </c>
    </row>
    <row r="495">
      <c r="A495" s="155" t="s">
        <v>51</v>
      </c>
      <c r="B495" s="142" t="s">
        <v>1847</v>
      </c>
      <c r="C495" s="142" t="s">
        <v>1317</v>
      </c>
      <c r="D495" s="142" t="s">
        <v>1851</v>
      </c>
    </row>
    <row r="496">
      <c r="A496" s="155" t="s">
        <v>51</v>
      </c>
      <c r="B496" s="142" t="s">
        <v>1847</v>
      </c>
      <c r="C496" s="142" t="s">
        <v>1317</v>
      </c>
      <c r="D496" s="142" t="s">
        <v>909</v>
      </c>
    </row>
    <row r="497">
      <c r="A497" s="155" t="s">
        <v>51</v>
      </c>
      <c r="B497" s="142" t="s">
        <v>1847</v>
      </c>
      <c r="C497" s="142" t="s">
        <v>1317</v>
      </c>
      <c r="D497" s="142" t="s">
        <v>1852</v>
      </c>
    </row>
    <row r="498">
      <c r="A498" s="155" t="s">
        <v>51</v>
      </c>
      <c r="B498" s="142" t="s">
        <v>1847</v>
      </c>
      <c r="C498" s="142" t="s">
        <v>1317</v>
      </c>
      <c r="D498" s="142" t="s">
        <v>1853</v>
      </c>
    </row>
    <row r="499">
      <c r="A499" s="155" t="s">
        <v>51</v>
      </c>
      <c r="B499" s="142" t="s">
        <v>1847</v>
      </c>
      <c r="C499" s="142" t="s">
        <v>1317</v>
      </c>
      <c r="D499" s="142" t="s">
        <v>1854</v>
      </c>
    </row>
    <row r="500">
      <c r="A500" s="155" t="s">
        <v>51</v>
      </c>
      <c r="B500" s="142" t="s">
        <v>1847</v>
      </c>
      <c r="C500" s="142" t="s">
        <v>1317</v>
      </c>
      <c r="D500" s="142" t="s">
        <v>1855</v>
      </c>
    </row>
    <row r="501">
      <c r="A501" s="155" t="s">
        <v>39</v>
      </c>
      <c r="B501" s="142" t="s">
        <v>16</v>
      </c>
      <c r="C501" s="155" t="s">
        <v>1317</v>
      </c>
      <c r="D501" s="142" t="s">
        <v>1856</v>
      </c>
    </row>
    <row r="502">
      <c r="A502" s="155" t="s">
        <v>51</v>
      </c>
      <c r="B502" s="142" t="s">
        <v>1847</v>
      </c>
      <c r="C502" s="142" t="s">
        <v>1317</v>
      </c>
      <c r="D502" s="142" t="s">
        <v>1842</v>
      </c>
    </row>
    <row r="503">
      <c r="A503" s="155" t="s">
        <v>51</v>
      </c>
      <c r="B503" s="142" t="s">
        <v>1847</v>
      </c>
      <c r="C503" s="142" t="s">
        <v>1317</v>
      </c>
      <c r="D503" s="142" t="s">
        <v>1334</v>
      </c>
    </row>
    <row r="504">
      <c r="A504" s="155" t="s">
        <v>51</v>
      </c>
      <c r="B504" s="142" t="s">
        <v>1847</v>
      </c>
      <c r="C504" s="142" t="s">
        <v>1317</v>
      </c>
      <c r="D504" s="142" t="s">
        <v>1857</v>
      </c>
    </row>
    <row r="505">
      <c r="A505" s="155" t="s">
        <v>51</v>
      </c>
      <c r="B505" s="142" t="s">
        <v>1847</v>
      </c>
      <c r="C505" s="142" t="s">
        <v>1317</v>
      </c>
      <c r="D505" s="142" t="s">
        <v>1858</v>
      </c>
    </row>
    <row r="506">
      <c r="A506" s="155" t="s">
        <v>74</v>
      </c>
      <c r="B506" s="142" t="s">
        <v>1847</v>
      </c>
      <c r="C506" s="142" t="s">
        <v>1258</v>
      </c>
      <c r="D506" s="142" t="s">
        <v>1859</v>
      </c>
    </row>
    <row r="507">
      <c r="A507" s="155" t="s">
        <v>74</v>
      </c>
      <c r="B507" s="142" t="s">
        <v>1847</v>
      </c>
      <c r="C507" s="142" t="s">
        <v>1258</v>
      </c>
      <c r="D507" s="142" t="s">
        <v>1860</v>
      </c>
    </row>
    <row r="508">
      <c r="A508" s="155" t="s">
        <v>74</v>
      </c>
      <c r="B508" s="142" t="s">
        <v>1847</v>
      </c>
      <c r="C508" s="142" t="s">
        <v>1317</v>
      </c>
      <c r="D508" s="142" t="s">
        <v>1861</v>
      </c>
    </row>
    <row r="509">
      <c r="A509" s="155" t="s">
        <v>74</v>
      </c>
      <c r="B509" s="142" t="s">
        <v>1847</v>
      </c>
      <c r="C509" s="142" t="s">
        <v>1317</v>
      </c>
      <c r="D509" s="142" t="s">
        <v>1334</v>
      </c>
    </row>
    <row r="510">
      <c r="A510" s="155" t="s">
        <v>74</v>
      </c>
      <c r="B510" s="142" t="s">
        <v>1847</v>
      </c>
      <c r="C510" s="142" t="s">
        <v>1317</v>
      </c>
      <c r="D510" s="142" t="s">
        <v>1842</v>
      </c>
    </row>
    <row r="511">
      <c r="A511" s="155"/>
      <c r="B511" s="7" t="s">
        <v>801</v>
      </c>
      <c r="C511" s="155" t="s">
        <v>1258</v>
      </c>
      <c r="D511" s="155" t="s">
        <v>1862</v>
      </c>
    </row>
    <row r="512">
      <c r="A512" s="155"/>
      <c r="B512" s="7" t="s">
        <v>801</v>
      </c>
      <c r="C512" s="155" t="s">
        <v>1863</v>
      </c>
      <c r="D512" s="155" t="s">
        <v>1864</v>
      </c>
    </row>
    <row r="513">
      <c r="A513" s="155"/>
      <c r="B513" s="7" t="s">
        <v>801</v>
      </c>
      <c r="C513" s="155" t="s">
        <v>1258</v>
      </c>
      <c r="D513" s="155" t="s">
        <v>1865</v>
      </c>
    </row>
    <row r="514">
      <c r="A514" s="155"/>
      <c r="B514" s="7" t="s">
        <v>801</v>
      </c>
      <c r="C514" s="155" t="s">
        <v>1147</v>
      </c>
      <c r="D514" s="155" t="s">
        <v>1866</v>
      </c>
    </row>
    <row r="515">
      <c r="A515" s="155"/>
      <c r="B515" s="7" t="s">
        <v>801</v>
      </c>
      <c r="C515" s="155" t="s">
        <v>1867</v>
      </c>
      <c r="D515" s="155" t="s">
        <v>1868</v>
      </c>
    </row>
  </sheetData>
  <customSheetViews>
    <customSheetView guid="{40F1C311-8276-42C7-88A3-F1A33BF631D2}" filter="1" showAutoFilter="1">
      <autoFilter ref="$A$1:$D$515">
        <sortState ref="A1:D515">
          <sortCondition ref="B1:B515"/>
        </sortState>
      </autoFilter>
    </customSheetView>
  </customSheetView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0.38"/>
    <col customWidth="1" min="3" max="3" width="21.75"/>
    <col customWidth="1" min="4" max="4" width="19.38"/>
    <col customWidth="1" min="5" max="5" width="101.38"/>
  </cols>
  <sheetData>
    <row r="1">
      <c r="A1" s="1" t="s">
        <v>0</v>
      </c>
      <c r="B1" s="1" t="s">
        <v>7</v>
      </c>
      <c r="C1" s="1" t="s">
        <v>613</v>
      </c>
      <c r="D1" s="1" t="s">
        <v>1869</v>
      </c>
      <c r="E1" s="1" t="s">
        <v>1870</v>
      </c>
      <c r="F1" s="5"/>
      <c r="G1" s="5"/>
      <c r="H1" s="5"/>
      <c r="I1" s="5"/>
      <c r="J1" s="5"/>
      <c r="K1" s="5"/>
      <c r="L1" s="5"/>
      <c r="M1" s="5"/>
      <c r="N1" s="5"/>
      <c r="O1" s="5"/>
      <c r="P1" s="5"/>
      <c r="Q1" s="5"/>
      <c r="R1" s="5"/>
      <c r="S1" s="5"/>
      <c r="T1" s="5"/>
      <c r="U1" s="5"/>
      <c r="V1" s="5"/>
      <c r="W1" s="5"/>
      <c r="X1" s="5"/>
      <c r="Y1" s="5"/>
      <c r="Z1" s="5"/>
      <c r="AA1" s="5"/>
      <c r="AB1" s="5"/>
    </row>
    <row r="2">
      <c r="A2" s="7" t="s">
        <v>13</v>
      </c>
      <c r="B2" s="7" t="s">
        <v>15</v>
      </c>
      <c r="C2" s="7" t="s">
        <v>1871</v>
      </c>
      <c r="D2" s="7" t="s">
        <v>1872</v>
      </c>
      <c r="E2" s="7" t="s">
        <v>1873</v>
      </c>
    </row>
    <row r="3">
      <c r="A3" s="7" t="s">
        <v>13</v>
      </c>
      <c r="B3" s="7" t="s">
        <v>15</v>
      </c>
      <c r="C3" s="142" t="s">
        <v>1874</v>
      </c>
      <c r="D3" s="142" t="s">
        <v>1875</v>
      </c>
      <c r="E3" s="142" t="s">
        <v>1876</v>
      </c>
    </row>
    <row r="4">
      <c r="A4" s="7" t="s">
        <v>13</v>
      </c>
      <c r="B4" s="7" t="s">
        <v>15</v>
      </c>
      <c r="C4" s="142" t="s">
        <v>1877</v>
      </c>
      <c r="D4" s="142" t="s">
        <v>1878</v>
      </c>
      <c r="E4" s="142" t="s">
        <v>1879</v>
      </c>
    </row>
    <row r="5">
      <c r="A5" s="7" t="s">
        <v>20</v>
      </c>
      <c r="B5" s="7" t="s">
        <v>15</v>
      </c>
      <c r="C5" s="142" t="s">
        <v>1880</v>
      </c>
      <c r="D5" s="142" t="s">
        <v>1875</v>
      </c>
      <c r="E5" s="142" t="s">
        <v>1881</v>
      </c>
    </row>
    <row r="6">
      <c r="A6" s="7" t="s">
        <v>20</v>
      </c>
      <c r="B6" s="7" t="s">
        <v>15</v>
      </c>
      <c r="C6" s="142" t="s">
        <v>1882</v>
      </c>
      <c r="D6" s="155" t="s">
        <v>1878</v>
      </c>
      <c r="E6" s="142" t="s">
        <v>1883</v>
      </c>
      <c r="F6" s="142"/>
      <c r="G6" s="142"/>
      <c r="H6" s="142"/>
      <c r="I6" s="142"/>
      <c r="J6" s="142"/>
      <c r="K6" s="142"/>
      <c r="L6" s="142"/>
      <c r="M6" s="142"/>
      <c r="N6" s="142"/>
      <c r="O6" s="142"/>
      <c r="P6" s="142"/>
      <c r="Q6" s="142"/>
      <c r="R6" s="142"/>
      <c r="S6" s="142"/>
      <c r="T6" s="142"/>
      <c r="U6" s="142"/>
      <c r="V6" s="142"/>
      <c r="W6" s="142"/>
      <c r="X6" s="142"/>
      <c r="Y6" s="142"/>
      <c r="Z6" s="142"/>
      <c r="AA6" s="142"/>
      <c r="AB6" s="142"/>
    </row>
    <row r="7">
      <c r="A7" s="7" t="s">
        <v>20</v>
      </c>
      <c r="B7" s="7" t="s">
        <v>15</v>
      </c>
      <c r="C7" s="139" t="s">
        <v>1884</v>
      </c>
      <c r="D7" s="155" t="s">
        <v>1878</v>
      </c>
      <c r="E7" s="142" t="s">
        <v>1885</v>
      </c>
    </row>
    <row r="8">
      <c r="A8" s="7" t="s">
        <v>20</v>
      </c>
      <c r="B8" s="7" t="s">
        <v>15</v>
      </c>
      <c r="C8" s="142" t="s">
        <v>1886</v>
      </c>
      <c r="D8" s="142" t="s">
        <v>1875</v>
      </c>
      <c r="E8" s="7" t="s">
        <v>1887</v>
      </c>
    </row>
    <row r="9">
      <c r="A9" s="7" t="s">
        <v>25</v>
      </c>
      <c r="B9" s="7" t="s">
        <v>15</v>
      </c>
      <c r="C9" s="142" t="s">
        <v>1888</v>
      </c>
      <c r="D9" s="142" t="s">
        <v>1878</v>
      </c>
      <c r="E9" s="142" t="s">
        <v>1889</v>
      </c>
    </row>
    <row r="10">
      <c r="A10" s="7" t="s">
        <v>25</v>
      </c>
      <c r="B10" s="7" t="s">
        <v>15</v>
      </c>
      <c r="C10" s="142" t="s">
        <v>1890</v>
      </c>
      <c r="D10" s="142" t="s">
        <v>1878</v>
      </c>
      <c r="E10" s="142" t="s">
        <v>1891</v>
      </c>
    </row>
    <row r="11">
      <c r="A11" s="7" t="s">
        <v>25</v>
      </c>
      <c r="B11" s="7" t="s">
        <v>15</v>
      </c>
      <c r="C11" s="142" t="s">
        <v>1892</v>
      </c>
      <c r="D11" s="142" t="s">
        <v>1875</v>
      </c>
      <c r="E11" s="142" t="s">
        <v>1893</v>
      </c>
    </row>
    <row r="12">
      <c r="A12" s="7" t="s">
        <v>25</v>
      </c>
      <c r="B12" s="7" t="s">
        <v>15</v>
      </c>
      <c r="C12" s="142" t="s">
        <v>1894</v>
      </c>
      <c r="D12" s="142" t="s">
        <v>1895</v>
      </c>
      <c r="E12" s="142" t="s">
        <v>1896</v>
      </c>
    </row>
    <row r="13">
      <c r="A13" s="7" t="s">
        <v>25</v>
      </c>
      <c r="B13" s="7" t="s">
        <v>15</v>
      </c>
      <c r="C13" s="142" t="s">
        <v>1897</v>
      </c>
      <c r="D13" s="142" t="s">
        <v>1872</v>
      </c>
      <c r="E13" s="142" t="s">
        <v>1898</v>
      </c>
    </row>
    <row r="14">
      <c r="A14" s="7" t="s">
        <v>25</v>
      </c>
      <c r="B14" s="7" t="s">
        <v>15</v>
      </c>
      <c r="C14" s="142" t="s">
        <v>1899</v>
      </c>
      <c r="D14" s="142" t="s">
        <v>1872</v>
      </c>
      <c r="E14" s="142" t="s">
        <v>1900</v>
      </c>
    </row>
    <row r="15">
      <c r="A15" s="7" t="s">
        <v>25</v>
      </c>
      <c r="B15" s="7" t="s">
        <v>15</v>
      </c>
      <c r="C15" s="142" t="s">
        <v>1901</v>
      </c>
      <c r="D15" s="142" t="s">
        <v>1902</v>
      </c>
      <c r="E15" s="142" t="s">
        <v>1903</v>
      </c>
    </row>
    <row r="16">
      <c r="A16" s="7" t="s">
        <v>25</v>
      </c>
      <c r="B16" s="7" t="s">
        <v>15</v>
      </c>
      <c r="C16" s="142" t="s">
        <v>1904</v>
      </c>
      <c r="D16" s="142" t="s">
        <v>1905</v>
      </c>
      <c r="E16" s="142" t="s">
        <v>1906</v>
      </c>
    </row>
    <row r="17">
      <c r="A17" s="7" t="s">
        <v>25</v>
      </c>
      <c r="B17" s="7" t="s">
        <v>15</v>
      </c>
      <c r="C17" s="142" t="s">
        <v>1907</v>
      </c>
      <c r="D17" s="142" t="s">
        <v>1905</v>
      </c>
      <c r="E17" s="142" t="s">
        <v>1908</v>
      </c>
    </row>
    <row r="18">
      <c r="A18" s="7" t="s">
        <v>28</v>
      </c>
      <c r="B18" s="7" t="s">
        <v>15</v>
      </c>
      <c r="C18" s="142" t="s">
        <v>1909</v>
      </c>
      <c r="D18" s="142" t="s">
        <v>1875</v>
      </c>
      <c r="E18" s="142" t="s">
        <v>1910</v>
      </c>
    </row>
    <row r="19">
      <c r="A19" s="7" t="s">
        <v>28</v>
      </c>
      <c r="B19" s="7" t="s">
        <v>15</v>
      </c>
      <c r="C19" s="142" t="s">
        <v>1911</v>
      </c>
      <c r="D19" s="142" t="s">
        <v>1878</v>
      </c>
      <c r="E19" s="142" t="s">
        <v>1912</v>
      </c>
    </row>
    <row r="20">
      <c r="A20" s="7" t="s">
        <v>28</v>
      </c>
      <c r="B20" s="7" t="s">
        <v>15</v>
      </c>
      <c r="C20" s="142" t="s">
        <v>1913</v>
      </c>
      <c r="D20" s="142" t="s">
        <v>1878</v>
      </c>
      <c r="E20" s="142" t="s">
        <v>1914</v>
      </c>
    </row>
    <row r="21">
      <c r="A21" s="7" t="s">
        <v>28</v>
      </c>
      <c r="B21" s="7" t="s">
        <v>15</v>
      </c>
      <c r="C21" s="142" t="s">
        <v>1915</v>
      </c>
      <c r="D21" s="142" t="s">
        <v>1916</v>
      </c>
      <c r="E21" s="142" t="s">
        <v>1917</v>
      </c>
    </row>
    <row r="22">
      <c r="A22" s="7" t="s">
        <v>28</v>
      </c>
      <c r="B22" s="7" t="s">
        <v>15</v>
      </c>
      <c r="C22" s="142" t="s">
        <v>1918</v>
      </c>
      <c r="D22" s="142" t="s">
        <v>1916</v>
      </c>
      <c r="E22" s="142" t="s">
        <v>1919</v>
      </c>
    </row>
    <row r="23">
      <c r="A23" s="7" t="s">
        <v>28</v>
      </c>
      <c r="B23" s="7" t="s">
        <v>15</v>
      </c>
      <c r="C23" s="142" t="s">
        <v>1920</v>
      </c>
      <c r="D23" s="142" t="s">
        <v>1878</v>
      </c>
      <c r="E23" s="142" t="s">
        <v>1921</v>
      </c>
    </row>
    <row r="24">
      <c r="A24" s="7" t="s">
        <v>28</v>
      </c>
      <c r="B24" s="7" t="s">
        <v>15</v>
      </c>
      <c r="C24" s="142" t="s">
        <v>1922</v>
      </c>
      <c r="D24" s="142" t="s">
        <v>1916</v>
      </c>
      <c r="E24" s="142" t="s">
        <v>1923</v>
      </c>
    </row>
    <row r="25">
      <c r="A25" s="7" t="s">
        <v>28</v>
      </c>
      <c r="B25" s="7" t="s">
        <v>15</v>
      </c>
      <c r="C25" s="142" t="s">
        <v>1924</v>
      </c>
      <c r="D25" s="142" t="s">
        <v>1905</v>
      </c>
      <c r="E25" s="142" t="s">
        <v>1925</v>
      </c>
    </row>
    <row r="26">
      <c r="A26" s="7" t="s">
        <v>31</v>
      </c>
      <c r="B26" s="7" t="s">
        <v>15</v>
      </c>
      <c r="C26" s="142" t="s">
        <v>1926</v>
      </c>
      <c r="D26" s="142" t="s">
        <v>1905</v>
      </c>
      <c r="E26" s="142" t="s">
        <v>1927</v>
      </c>
    </row>
    <row r="27">
      <c r="A27" s="7" t="s">
        <v>31</v>
      </c>
      <c r="B27" s="7" t="s">
        <v>15</v>
      </c>
      <c r="C27" s="142" t="s">
        <v>1928</v>
      </c>
      <c r="D27" s="142" t="s">
        <v>1872</v>
      </c>
      <c r="E27" s="142" t="s">
        <v>1929</v>
      </c>
    </row>
    <row r="28">
      <c r="A28" s="7" t="s">
        <v>31</v>
      </c>
      <c r="B28" s="7" t="s">
        <v>15</v>
      </c>
      <c r="C28" s="142" t="s">
        <v>1930</v>
      </c>
      <c r="D28" s="142" t="s">
        <v>1875</v>
      </c>
      <c r="E28" s="142" t="s">
        <v>1931</v>
      </c>
    </row>
    <row r="29">
      <c r="A29" s="7" t="s">
        <v>31</v>
      </c>
      <c r="B29" s="7" t="s">
        <v>15</v>
      </c>
      <c r="C29" s="142" t="s">
        <v>1932</v>
      </c>
      <c r="D29" s="142" t="s">
        <v>1878</v>
      </c>
      <c r="E29" s="142" t="s">
        <v>1933</v>
      </c>
    </row>
    <row r="30">
      <c r="A30" s="7" t="s">
        <v>31</v>
      </c>
      <c r="B30" s="7" t="s">
        <v>15</v>
      </c>
      <c r="C30" s="142" t="s">
        <v>696</v>
      </c>
      <c r="D30" s="142" t="s">
        <v>1902</v>
      </c>
      <c r="E30" s="142" t="s">
        <v>1934</v>
      </c>
    </row>
    <row r="31">
      <c r="A31" s="7" t="s">
        <v>31</v>
      </c>
      <c r="B31" s="7" t="s">
        <v>15</v>
      </c>
      <c r="C31" s="142" t="s">
        <v>778</v>
      </c>
      <c r="D31" s="142" t="s">
        <v>1872</v>
      </c>
      <c r="E31" s="142" t="s">
        <v>1935</v>
      </c>
    </row>
    <row r="32">
      <c r="A32" s="7" t="s">
        <v>31</v>
      </c>
      <c r="B32" s="7" t="s">
        <v>15</v>
      </c>
      <c r="C32" s="142" t="s">
        <v>1936</v>
      </c>
      <c r="D32" s="142" t="s">
        <v>1878</v>
      </c>
      <c r="E32" s="142" t="s">
        <v>1937</v>
      </c>
    </row>
    <row r="33">
      <c r="A33" s="7" t="s">
        <v>31</v>
      </c>
      <c r="B33" s="7" t="s">
        <v>15</v>
      </c>
      <c r="C33" s="142" t="s">
        <v>1938</v>
      </c>
      <c r="D33" s="142" t="s">
        <v>1875</v>
      </c>
      <c r="E33" s="142" t="s">
        <v>1939</v>
      </c>
    </row>
    <row r="34">
      <c r="A34" s="7" t="s">
        <v>31</v>
      </c>
      <c r="B34" s="7" t="s">
        <v>15</v>
      </c>
      <c r="C34" s="142" t="s">
        <v>1940</v>
      </c>
      <c r="D34" s="142" t="s">
        <v>1875</v>
      </c>
      <c r="E34" s="142" t="s">
        <v>1941</v>
      </c>
    </row>
    <row r="35">
      <c r="A35" s="7" t="s">
        <v>31</v>
      </c>
      <c r="B35" s="7" t="s">
        <v>15</v>
      </c>
      <c r="C35" s="142" t="s">
        <v>1942</v>
      </c>
      <c r="D35" s="142" t="s">
        <v>1875</v>
      </c>
      <c r="E35" s="142" t="s">
        <v>1943</v>
      </c>
    </row>
    <row r="36">
      <c r="A36" s="139" t="s">
        <v>35</v>
      </c>
      <c r="B36" s="7" t="s">
        <v>15</v>
      </c>
      <c r="C36" s="142" t="s">
        <v>1944</v>
      </c>
      <c r="D36" s="142" t="s">
        <v>1878</v>
      </c>
      <c r="E36" s="142" t="s">
        <v>1945</v>
      </c>
    </row>
    <row r="37">
      <c r="A37" s="139" t="s">
        <v>35</v>
      </c>
      <c r="B37" s="7" t="s">
        <v>15</v>
      </c>
      <c r="C37" s="142" t="s">
        <v>1946</v>
      </c>
      <c r="D37" s="142" t="s">
        <v>1947</v>
      </c>
      <c r="E37" s="142" t="s">
        <v>1948</v>
      </c>
    </row>
    <row r="38">
      <c r="A38" s="139" t="s">
        <v>35</v>
      </c>
      <c r="B38" s="7" t="s">
        <v>15</v>
      </c>
      <c r="C38" s="142" t="s">
        <v>1949</v>
      </c>
      <c r="D38" s="142" t="s">
        <v>1878</v>
      </c>
      <c r="E38" s="142" t="s">
        <v>1950</v>
      </c>
    </row>
    <row r="39">
      <c r="A39" s="139" t="s">
        <v>35</v>
      </c>
      <c r="B39" s="7" t="s">
        <v>15</v>
      </c>
      <c r="C39" s="142" t="s">
        <v>1951</v>
      </c>
      <c r="D39" s="142" t="s">
        <v>1878</v>
      </c>
      <c r="E39" s="142" t="s">
        <v>1952</v>
      </c>
    </row>
    <row r="40">
      <c r="A40" s="139" t="s">
        <v>35</v>
      </c>
      <c r="B40" s="7" t="s">
        <v>15</v>
      </c>
      <c r="C40" s="142" t="s">
        <v>1953</v>
      </c>
      <c r="D40" s="142" t="s">
        <v>1878</v>
      </c>
      <c r="E40" s="142" t="s">
        <v>1954</v>
      </c>
    </row>
    <row r="41">
      <c r="A41" s="139" t="s">
        <v>35</v>
      </c>
      <c r="B41" s="7" t="s">
        <v>15</v>
      </c>
      <c r="C41" s="142" t="s">
        <v>1955</v>
      </c>
      <c r="D41" s="142" t="s">
        <v>1875</v>
      </c>
      <c r="E41" s="142" t="s">
        <v>1956</v>
      </c>
    </row>
    <row r="42">
      <c r="A42" s="139" t="s">
        <v>35</v>
      </c>
      <c r="B42" s="7" t="s">
        <v>15</v>
      </c>
      <c r="C42" s="142" t="s">
        <v>1957</v>
      </c>
      <c r="D42" s="142" t="s">
        <v>1878</v>
      </c>
      <c r="E42" s="142" t="s">
        <v>1958</v>
      </c>
    </row>
    <row r="43">
      <c r="A43" s="155" t="s">
        <v>37</v>
      </c>
      <c r="B43" s="7" t="s">
        <v>15</v>
      </c>
      <c r="C43" s="142" t="s">
        <v>1959</v>
      </c>
      <c r="D43" s="142" t="s">
        <v>1947</v>
      </c>
      <c r="E43" s="142" t="s">
        <v>1960</v>
      </c>
    </row>
    <row r="44">
      <c r="A44" s="155" t="s">
        <v>37</v>
      </c>
      <c r="B44" s="7" t="s">
        <v>15</v>
      </c>
      <c r="C44" s="142" t="s">
        <v>1961</v>
      </c>
      <c r="D44" s="142" t="s">
        <v>1905</v>
      </c>
      <c r="E44" s="142" t="s">
        <v>1962</v>
      </c>
    </row>
    <row r="45">
      <c r="A45" s="155" t="s">
        <v>37</v>
      </c>
      <c r="B45" s="7" t="s">
        <v>15</v>
      </c>
      <c r="C45" s="142" t="s">
        <v>1963</v>
      </c>
      <c r="D45" s="142" t="s">
        <v>1905</v>
      </c>
      <c r="E45" s="142" t="s">
        <v>1964</v>
      </c>
    </row>
    <row r="46">
      <c r="A46" s="155" t="s">
        <v>37</v>
      </c>
      <c r="B46" s="7" t="s">
        <v>15</v>
      </c>
      <c r="C46" s="142" t="s">
        <v>1965</v>
      </c>
      <c r="D46" s="142" t="s">
        <v>1905</v>
      </c>
      <c r="E46" s="142" t="s">
        <v>1966</v>
      </c>
    </row>
    <row r="47">
      <c r="A47" s="155" t="s">
        <v>37</v>
      </c>
      <c r="B47" s="7" t="s">
        <v>15</v>
      </c>
      <c r="C47" s="142" t="s">
        <v>1967</v>
      </c>
      <c r="D47" s="142" t="s">
        <v>1905</v>
      </c>
      <c r="E47" s="142" t="s">
        <v>1968</v>
      </c>
    </row>
    <row r="48">
      <c r="A48" s="155" t="s">
        <v>37</v>
      </c>
      <c r="B48" s="7" t="s">
        <v>15</v>
      </c>
      <c r="C48" s="142" t="s">
        <v>1969</v>
      </c>
      <c r="D48" s="142" t="s">
        <v>1878</v>
      </c>
      <c r="E48" s="142" t="s">
        <v>1970</v>
      </c>
    </row>
    <row r="49">
      <c r="A49" s="155" t="s">
        <v>37</v>
      </c>
      <c r="B49" s="7" t="s">
        <v>15</v>
      </c>
      <c r="C49" s="142" t="s">
        <v>1971</v>
      </c>
      <c r="D49" s="142" t="s">
        <v>1878</v>
      </c>
      <c r="E49" s="142" t="s">
        <v>1972</v>
      </c>
    </row>
    <row r="50">
      <c r="A50" s="155" t="s">
        <v>37</v>
      </c>
      <c r="B50" s="7" t="s">
        <v>15</v>
      </c>
      <c r="C50" s="142" t="s">
        <v>1973</v>
      </c>
      <c r="D50" s="142" t="s">
        <v>1878</v>
      </c>
      <c r="E50" s="142" t="s">
        <v>1974</v>
      </c>
    </row>
    <row r="51">
      <c r="A51" s="155" t="s">
        <v>37</v>
      </c>
      <c r="B51" s="7" t="s">
        <v>15</v>
      </c>
      <c r="C51" s="142" t="s">
        <v>1975</v>
      </c>
      <c r="D51" s="142" t="s">
        <v>1875</v>
      </c>
      <c r="E51" s="142" t="s">
        <v>1976</v>
      </c>
    </row>
    <row r="52">
      <c r="A52" s="155" t="s">
        <v>37</v>
      </c>
      <c r="B52" s="7" t="s">
        <v>15</v>
      </c>
      <c r="C52" s="142" t="s">
        <v>1977</v>
      </c>
      <c r="D52" s="142" t="s">
        <v>1875</v>
      </c>
      <c r="E52" s="142" t="s">
        <v>1978</v>
      </c>
    </row>
    <row r="53">
      <c r="A53" s="155" t="s">
        <v>37</v>
      </c>
      <c r="B53" s="7" t="s">
        <v>15</v>
      </c>
      <c r="C53" s="142" t="s">
        <v>1979</v>
      </c>
      <c r="D53" s="142" t="s">
        <v>1875</v>
      </c>
      <c r="E53" s="142" t="s">
        <v>1980</v>
      </c>
    </row>
    <row r="54">
      <c r="A54" s="155" t="s">
        <v>37</v>
      </c>
      <c r="B54" s="7" t="s">
        <v>15</v>
      </c>
      <c r="C54" s="142" t="s">
        <v>1981</v>
      </c>
      <c r="D54" s="142" t="s">
        <v>1916</v>
      </c>
      <c r="E54" s="142" t="s">
        <v>1982</v>
      </c>
    </row>
    <row r="55">
      <c r="A55" s="155" t="s">
        <v>39</v>
      </c>
      <c r="B55" s="7" t="s">
        <v>15</v>
      </c>
      <c r="C55" s="142" t="s">
        <v>1983</v>
      </c>
      <c r="D55" s="142" t="s">
        <v>1878</v>
      </c>
      <c r="E55" s="142" t="s">
        <v>1984</v>
      </c>
    </row>
    <row r="56">
      <c r="A56" s="155" t="s">
        <v>39</v>
      </c>
      <c r="B56" s="7" t="s">
        <v>15</v>
      </c>
      <c r="C56" s="142" t="s">
        <v>1985</v>
      </c>
      <c r="D56" s="142" t="s">
        <v>1875</v>
      </c>
      <c r="E56" s="142" t="s">
        <v>1986</v>
      </c>
    </row>
    <row r="57">
      <c r="A57" s="155" t="s">
        <v>39</v>
      </c>
      <c r="B57" s="7" t="s">
        <v>15</v>
      </c>
      <c r="C57" s="142" t="s">
        <v>1987</v>
      </c>
      <c r="D57" s="142" t="s">
        <v>1878</v>
      </c>
      <c r="E57" s="142" t="s">
        <v>1988</v>
      </c>
    </row>
    <row r="58">
      <c r="A58" s="155" t="s">
        <v>39</v>
      </c>
      <c r="B58" s="7" t="s">
        <v>15</v>
      </c>
      <c r="C58" s="142" t="s">
        <v>1989</v>
      </c>
      <c r="D58" s="142" t="s">
        <v>1990</v>
      </c>
      <c r="E58" s="142" t="s">
        <v>1991</v>
      </c>
    </row>
    <row r="59">
      <c r="A59" s="155" t="s">
        <v>39</v>
      </c>
      <c r="B59" s="7" t="s">
        <v>15</v>
      </c>
      <c r="C59" s="142" t="s">
        <v>1992</v>
      </c>
      <c r="D59" s="142" t="s">
        <v>1993</v>
      </c>
      <c r="E59" s="142" t="s">
        <v>1994</v>
      </c>
    </row>
    <row r="60">
      <c r="A60" s="155" t="s">
        <v>41</v>
      </c>
      <c r="B60" s="7" t="s">
        <v>15</v>
      </c>
      <c r="C60" s="142" t="s">
        <v>1995</v>
      </c>
      <c r="D60" s="142" t="s">
        <v>1878</v>
      </c>
      <c r="E60" s="142" t="s">
        <v>1996</v>
      </c>
    </row>
    <row r="61">
      <c r="A61" s="155" t="s">
        <v>41</v>
      </c>
      <c r="B61" s="7" t="s">
        <v>15</v>
      </c>
      <c r="C61" s="142" t="s">
        <v>1997</v>
      </c>
      <c r="D61" s="142" t="s">
        <v>1875</v>
      </c>
      <c r="E61" s="142" t="s">
        <v>1998</v>
      </c>
    </row>
    <row r="62">
      <c r="A62" s="155" t="s">
        <v>41</v>
      </c>
      <c r="B62" s="7" t="s">
        <v>15</v>
      </c>
      <c r="C62" s="142" t="s">
        <v>1999</v>
      </c>
      <c r="D62" s="142" t="s">
        <v>1878</v>
      </c>
      <c r="E62" s="142" t="s">
        <v>2000</v>
      </c>
    </row>
    <row r="63">
      <c r="A63" s="155" t="s">
        <v>41</v>
      </c>
      <c r="B63" s="7" t="s">
        <v>15</v>
      </c>
      <c r="C63" s="142" t="s">
        <v>2001</v>
      </c>
      <c r="D63" s="142" t="s">
        <v>1916</v>
      </c>
      <c r="E63" s="142" t="s">
        <v>2002</v>
      </c>
    </row>
    <row r="64">
      <c r="A64" s="155" t="s">
        <v>41</v>
      </c>
      <c r="B64" s="7" t="s">
        <v>15</v>
      </c>
      <c r="C64" s="142" t="s">
        <v>2003</v>
      </c>
      <c r="D64" s="142" t="s">
        <v>1947</v>
      </c>
      <c r="E64" s="142" t="s">
        <v>2004</v>
      </c>
    </row>
    <row r="65">
      <c r="A65" s="155" t="s">
        <v>41</v>
      </c>
      <c r="B65" s="7" t="s">
        <v>15</v>
      </c>
      <c r="C65" s="142" t="s">
        <v>2005</v>
      </c>
      <c r="D65" s="142" t="s">
        <v>1947</v>
      </c>
      <c r="E65" s="142" t="s">
        <v>2006</v>
      </c>
    </row>
    <row r="66">
      <c r="A66" s="155" t="s">
        <v>41</v>
      </c>
      <c r="B66" s="7" t="s">
        <v>15</v>
      </c>
      <c r="C66" s="142" t="s">
        <v>2007</v>
      </c>
      <c r="D66" s="142" t="s">
        <v>1875</v>
      </c>
      <c r="E66" s="142" t="s">
        <v>2008</v>
      </c>
    </row>
    <row r="67">
      <c r="A67" s="155" t="s">
        <v>41</v>
      </c>
      <c r="B67" s="7" t="s">
        <v>15</v>
      </c>
      <c r="C67" s="142" t="s">
        <v>2009</v>
      </c>
      <c r="D67" s="142" t="s">
        <v>1905</v>
      </c>
      <c r="E67" s="142" t="s">
        <v>2010</v>
      </c>
    </row>
    <row r="68">
      <c r="A68" s="155" t="s">
        <v>41</v>
      </c>
      <c r="B68" s="7" t="s">
        <v>15</v>
      </c>
      <c r="C68" s="142" t="s">
        <v>2011</v>
      </c>
      <c r="D68" s="142" t="s">
        <v>1875</v>
      </c>
      <c r="E68" s="142" t="s">
        <v>2012</v>
      </c>
    </row>
    <row r="69">
      <c r="A69" s="155" t="s">
        <v>41</v>
      </c>
      <c r="B69" s="7" t="s">
        <v>15</v>
      </c>
      <c r="C69" s="142" t="s">
        <v>2013</v>
      </c>
      <c r="D69" s="142" t="s">
        <v>1916</v>
      </c>
      <c r="E69" s="142" t="s">
        <v>2014</v>
      </c>
    </row>
    <row r="70">
      <c r="A70" s="155" t="s">
        <v>41</v>
      </c>
      <c r="B70" s="7" t="s">
        <v>15</v>
      </c>
      <c r="C70" s="142" t="s">
        <v>2015</v>
      </c>
      <c r="D70" s="142" t="s">
        <v>1875</v>
      </c>
      <c r="E70" s="142" t="s">
        <v>2016</v>
      </c>
    </row>
    <row r="71">
      <c r="A71" s="155" t="s">
        <v>41</v>
      </c>
      <c r="B71" s="7" t="s">
        <v>15</v>
      </c>
      <c r="C71" s="142" t="s">
        <v>2017</v>
      </c>
      <c r="D71" s="142" t="s">
        <v>1878</v>
      </c>
      <c r="E71" s="142" t="s">
        <v>2018</v>
      </c>
    </row>
    <row r="72">
      <c r="A72" s="155" t="s">
        <v>43</v>
      </c>
      <c r="B72" s="7" t="s">
        <v>15</v>
      </c>
      <c r="C72" s="142" t="s">
        <v>2019</v>
      </c>
      <c r="D72" s="142" t="s">
        <v>1872</v>
      </c>
      <c r="E72" s="142" t="s">
        <v>2020</v>
      </c>
    </row>
    <row r="73">
      <c r="A73" s="155" t="s">
        <v>43</v>
      </c>
      <c r="B73" s="7" t="s">
        <v>15</v>
      </c>
      <c r="C73" s="142" t="s">
        <v>2021</v>
      </c>
      <c r="D73" s="142" t="s">
        <v>1872</v>
      </c>
      <c r="E73" s="142" t="s">
        <v>2022</v>
      </c>
    </row>
    <row r="74">
      <c r="A74" s="155" t="s">
        <v>43</v>
      </c>
      <c r="B74" s="7" t="s">
        <v>15</v>
      </c>
      <c r="C74" s="142" t="s">
        <v>2023</v>
      </c>
      <c r="D74" s="142" t="s">
        <v>1916</v>
      </c>
      <c r="E74" s="142" t="s">
        <v>2024</v>
      </c>
    </row>
    <row r="75">
      <c r="A75" s="155" t="s">
        <v>43</v>
      </c>
      <c r="B75" s="7" t="s">
        <v>15</v>
      </c>
      <c r="C75" s="142" t="s">
        <v>2025</v>
      </c>
      <c r="D75" s="142" t="s">
        <v>1878</v>
      </c>
      <c r="E75" s="142" t="s">
        <v>2026</v>
      </c>
    </row>
    <row r="76">
      <c r="A76" s="155" t="s">
        <v>43</v>
      </c>
      <c r="B76" s="7" t="s">
        <v>15</v>
      </c>
      <c r="C76" s="142" t="s">
        <v>2027</v>
      </c>
      <c r="D76" s="142" t="s">
        <v>1990</v>
      </c>
      <c r="E76" s="142" t="s">
        <v>2028</v>
      </c>
    </row>
    <row r="77">
      <c r="A77" s="155" t="s">
        <v>46</v>
      </c>
      <c r="B77" s="7" t="s">
        <v>15</v>
      </c>
      <c r="C77" s="142" t="s">
        <v>2029</v>
      </c>
      <c r="D77" s="142" t="s">
        <v>1872</v>
      </c>
      <c r="E77" s="142" t="s">
        <v>2030</v>
      </c>
    </row>
    <row r="78">
      <c r="A78" s="155" t="s">
        <v>46</v>
      </c>
      <c r="B78" s="7" t="s">
        <v>15</v>
      </c>
      <c r="C78" s="142" t="s">
        <v>2031</v>
      </c>
      <c r="D78" s="142" t="s">
        <v>1872</v>
      </c>
      <c r="E78" s="142" t="s">
        <v>2032</v>
      </c>
    </row>
    <row r="79">
      <c r="A79" s="155" t="s">
        <v>46</v>
      </c>
      <c r="B79" s="7" t="s">
        <v>15</v>
      </c>
      <c r="C79" s="142" t="s">
        <v>2033</v>
      </c>
      <c r="D79" s="142" t="s">
        <v>1875</v>
      </c>
      <c r="E79" s="142" t="s">
        <v>2034</v>
      </c>
    </row>
    <row r="80">
      <c r="A80" s="155" t="s">
        <v>46</v>
      </c>
      <c r="B80" s="7" t="s">
        <v>15</v>
      </c>
      <c r="C80" s="142" t="s">
        <v>420</v>
      </c>
      <c r="D80" s="142" t="s">
        <v>1875</v>
      </c>
      <c r="E80" s="142" t="s">
        <v>2035</v>
      </c>
    </row>
    <row r="81">
      <c r="A81" s="155" t="s">
        <v>46</v>
      </c>
      <c r="B81" s="7" t="s">
        <v>15</v>
      </c>
      <c r="C81" s="142" t="s">
        <v>1541</v>
      </c>
      <c r="D81" s="142" t="s">
        <v>1947</v>
      </c>
      <c r="E81" s="142" t="s">
        <v>2036</v>
      </c>
    </row>
    <row r="82">
      <c r="A82" s="155" t="s">
        <v>46</v>
      </c>
      <c r="B82" s="7" t="s">
        <v>15</v>
      </c>
      <c r="C82" s="142" t="s">
        <v>1540</v>
      </c>
      <c r="D82" s="142" t="s">
        <v>1947</v>
      </c>
      <c r="E82" s="142" t="s">
        <v>2037</v>
      </c>
    </row>
    <row r="83">
      <c r="A83" s="155" t="s">
        <v>48</v>
      </c>
      <c r="B83" s="7" t="s">
        <v>15</v>
      </c>
      <c r="C83" s="142" t="s">
        <v>2038</v>
      </c>
      <c r="D83" s="142" t="s">
        <v>1875</v>
      </c>
      <c r="E83" s="142" t="s">
        <v>2039</v>
      </c>
    </row>
    <row r="84">
      <c r="A84" s="155" t="s">
        <v>48</v>
      </c>
      <c r="B84" s="7" t="s">
        <v>15</v>
      </c>
      <c r="C84" s="142" t="s">
        <v>2040</v>
      </c>
      <c r="D84" s="142" t="s">
        <v>1878</v>
      </c>
      <c r="E84" s="142" t="s">
        <v>2041</v>
      </c>
    </row>
    <row r="85">
      <c r="A85" s="155" t="s">
        <v>48</v>
      </c>
      <c r="B85" s="7" t="s">
        <v>15</v>
      </c>
      <c r="C85" s="142" t="s">
        <v>2042</v>
      </c>
      <c r="D85" s="142" t="s">
        <v>1916</v>
      </c>
      <c r="E85" s="142" t="s">
        <v>2043</v>
      </c>
    </row>
    <row r="86">
      <c r="A86" s="155" t="s">
        <v>48</v>
      </c>
      <c r="B86" s="7" t="s">
        <v>15</v>
      </c>
      <c r="C86" s="142" t="s">
        <v>1949</v>
      </c>
      <c r="D86" s="142" t="s">
        <v>1878</v>
      </c>
      <c r="E86" s="142" t="s">
        <v>2044</v>
      </c>
    </row>
    <row r="87">
      <c r="A87" s="155" t="s">
        <v>51</v>
      </c>
      <c r="B87" s="7" t="s">
        <v>15</v>
      </c>
      <c r="C87" s="142" t="s">
        <v>2045</v>
      </c>
      <c r="D87" s="142" t="s">
        <v>1875</v>
      </c>
      <c r="E87" s="142" t="s">
        <v>2046</v>
      </c>
    </row>
    <row r="88">
      <c r="A88" s="155" t="s">
        <v>51</v>
      </c>
      <c r="B88" s="7" t="s">
        <v>15</v>
      </c>
      <c r="C88" s="142" t="s">
        <v>2047</v>
      </c>
      <c r="D88" s="142" t="s">
        <v>1875</v>
      </c>
      <c r="E88" s="142" t="s">
        <v>2048</v>
      </c>
    </row>
    <row r="89">
      <c r="A89" s="155" t="s">
        <v>51</v>
      </c>
      <c r="B89" s="7" t="s">
        <v>15</v>
      </c>
      <c r="C89" s="142" t="s">
        <v>2049</v>
      </c>
      <c r="D89" s="142" t="s">
        <v>1947</v>
      </c>
      <c r="E89" s="142" t="s">
        <v>2050</v>
      </c>
    </row>
    <row r="90">
      <c r="A90" s="155" t="s">
        <v>51</v>
      </c>
      <c r="B90" s="7" t="s">
        <v>15</v>
      </c>
      <c r="C90" s="142" t="s">
        <v>2051</v>
      </c>
      <c r="D90" s="142" t="s">
        <v>1878</v>
      </c>
      <c r="E90" s="142" t="s">
        <v>2052</v>
      </c>
    </row>
    <row r="91">
      <c r="A91" s="155" t="s">
        <v>51</v>
      </c>
      <c r="B91" s="7" t="s">
        <v>15</v>
      </c>
      <c r="C91" s="142" t="s">
        <v>2053</v>
      </c>
      <c r="D91" s="142" t="s">
        <v>1916</v>
      </c>
      <c r="E91" s="142" t="s">
        <v>2054</v>
      </c>
    </row>
    <row r="92">
      <c r="A92" s="155" t="s">
        <v>51</v>
      </c>
      <c r="B92" s="7" t="s">
        <v>15</v>
      </c>
      <c r="C92" s="142" t="s">
        <v>2055</v>
      </c>
      <c r="D92" s="142" t="s">
        <v>1905</v>
      </c>
      <c r="E92" s="142" t="s">
        <v>2056</v>
      </c>
    </row>
    <row r="93">
      <c r="A93" s="155" t="s">
        <v>53</v>
      </c>
      <c r="B93" s="7" t="s">
        <v>15</v>
      </c>
      <c r="C93" s="142" t="s">
        <v>2057</v>
      </c>
      <c r="D93" s="142" t="s">
        <v>1990</v>
      </c>
      <c r="E93" s="142" t="s">
        <v>2058</v>
      </c>
    </row>
    <row r="94">
      <c r="A94" s="155" t="s">
        <v>53</v>
      </c>
      <c r="B94" s="7" t="s">
        <v>15</v>
      </c>
      <c r="C94" s="142" t="s">
        <v>2059</v>
      </c>
      <c r="D94" s="142" t="s">
        <v>1878</v>
      </c>
      <c r="E94" s="142" t="s">
        <v>2060</v>
      </c>
    </row>
    <row r="95">
      <c r="A95" s="155" t="s">
        <v>53</v>
      </c>
      <c r="B95" s="7" t="s">
        <v>15</v>
      </c>
      <c r="C95" s="142" t="s">
        <v>2061</v>
      </c>
      <c r="D95" s="142" t="s">
        <v>1878</v>
      </c>
      <c r="E95" s="142" t="s">
        <v>2062</v>
      </c>
    </row>
    <row r="96">
      <c r="A96" s="155" t="s">
        <v>53</v>
      </c>
      <c r="B96" s="7" t="s">
        <v>15</v>
      </c>
      <c r="C96" s="142" t="s">
        <v>2063</v>
      </c>
      <c r="D96" s="142" t="s">
        <v>2064</v>
      </c>
      <c r="E96" s="142" t="s">
        <v>2065</v>
      </c>
    </row>
    <row r="97">
      <c r="A97" s="155" t="s">
        <v>53</v>
      </c>
      <c r="B97" s="7" t="s">
        <v>15</v>
      </c>
      <c r="C97" s="142" t="s">
        <v>2066</v>
      </c>
      <c r="D97" s="142" t="s">
        <v>1878</v>
      </c>
      <c r="E97" s="142" t="s">
        <v>2067</v>
      </c>
    </row>
    <row r="98">
      <c r="A98" s="155" t="s">
        <v>53</v>
      </c>
      <c r="B98" s="7" t="s">
        <v>15</v>
      </c>
      <c r="C98" s="142" t="s">
        <v>921</v>
      </c>
      <c r="D98" s="142" t="s">
        <v>2068</v>
      </c>
      <c r="E98" s="142" t="s">
        <v>2069</v>
      </c>
    </row>
    <row r="99">
      <c r="A99" s="155" t="s">
        <v>53</v>
      </c>
      <c r="B99" s="7" t="s">
        <v>15</v>
      </c>
      <c r="C99" s="142" t="s">
        <v>2070</v>
      </c>
      <c r="D99" s="142" t="s">
        <v>1990</v>
      </c>
      <c r="E99" s="142" t="s">
        <v>2071</v>
      </c>
    </row>
    <row r="100">
      <c r="A100" s="155" t="s">
        <v>53</v>
      </c>
      <c r="B100" s="7" t="s">
        <v>15</v>
      </c>
      <c r="C100" s="142" t="s">
        <v>2072</v>
      </c>
      <c r="D100" s="142" t="s">
        <v>1990</v>
      </c>
      <c r="E100" s="142" t="s">
        <v>2073</v>
      </c>
    </row>
    <row r="101">
      <c r="A101" s="155" t="s">
        <v>53</v>
      </c>
      <c r="B101" s="7" t="s">
        <v>15</v>
      </c>
      <c r="C101" s="142" t="s">
        <v>2074</v>
      </c>
      <c r="D101" s="142" t="s">
        <v>1878</v>
      </c>
      <c r="E101" s="142" t="s">
        <v>2075</v>
      </c>
    </row>
    <row r="102">
      <c r="A102" s="155" t="s">
        <v>53</v>
      </c>
      <c r="B102" s="7" t="s">
        <v>15</v>
      </c>
      <c r="C102" s="142" t="s">
        <v>2076</v>
      </c>
      <c r="D102" s="142" t="s">
        <v>1878</v>
      </c>
      <c r="E102" s="142" t="s">
        <v>2077</v>
      </c>
    </row>
    <row r="103">
      <c r="A103" s="155" t="s">
        <v>55</v>
      </c>
      <c r="B103" s="7" t="s">
        <v>15</v>
      </c>
      <c r="C103" s="142" t="s">
        <v>2078</v>
      </c>
      <c r="D103" s="142" t="s">
        <v>1875</v>
      </c>
      <c r="E103" s="142" t="s">
        <v>2079</v>
      </c>
    </row>
    <row r="104">
      <c r="A104" s="155" t="s">
        <v>55</v>
      </c>
      <c r="B104" s="7" t="s">
        <v>15</v>
      </c>
      <c r="C104" s="142" t="s">
        <v>2080</v>
      </c>
      <c r="D104" s="142" t="s">
        <v>1878</v>
      </c>
      <c r="E104" s="142" t="s">
        <v>2081</v>
      </c>
    </row>
    <row r="105">
      <c r="A105" s="155" t="s">
        <v>55</v>
      </c>
      <c r="B105" s="7" t="s">
        <v>15</v>
      </c>
      <c r="C105" s="142" t="s">
        <v>2082</v>
      </c>
      <c r="D105" s="142" t="s">
        <v>1947</v>
      </c>
      <c r="E105" s="142" t="s">
        <v>2083</v>
      </c>
    </row>
    <row r="106">
      <c r="A106" s="155" t="s">
        <v>55</v>
      </c>
      <c r="B106" s="7" t="s">
        <v>15</v>
      </c>
      <c r="C106" s="142" t="s">
        <v>2084</v>
      </c>
      <c r="D106" s="142" t="s">
        <v>1947</v>
      </c>
      <c r="E106" s="142" t="s">
        <v>2085</v>
      </c>
    </row>
    <row r="107">
      <c r="A107" s="155" t="s">
        <v>55</v>
      </c>
      <c r="B107" s="7" t="s">
        <v>15</v>
      </c>
      <c r="C107" s="142" t="s">
        <v>2086</v>
      </c>
      <c r="D107" s="142" t="s">
        <v>1947</v>
      </c>
      <c r="E107" s="142" t="s">
        <v>2087</v>
      </c>
    </row>
    <row r="108">
      <c r="A108" s="155" t="s">
        <v>58</v>
      </c>
      <c r="B108" s="7" t="s">
        <v>15</v>
      </c>
      <c r="C108" s="142" t="s">
        <v>2088</v>
      </c>
      <c r="D108" s="142" t="s">
        <v>1895</v>
      </c>
      <c r="E108" s="142" t="s">
        <v>2089</v>
      </c>
    </row>
    <row r="109">
      <c r="A109" s="155" t="s">
        <v>58</v>
      </c>
      <c r="B109" s="7" t="s">
        <v>15</v>
      </c>
      <c r="C109" s="142" t="s">
        <v>2090</v>
      </c>
      <c r="D109" s="142" t="s">
        <v>1947</v>
      </c>
      <c r="E109" s="142" t="s">
        <v>2091</v>
      </c>
    </row>
    <row r="110">
      <c r="A110" s="155" t="s">
        <v>58</v>
      </c>
      <c r="B110" s="7" t="s">
        <v>15</v>
      </c>
      <c r="C110" s="142" t="s">
        <v>2092</v>
      </c>
      <c r="D110" s="142" t="s">
        <v>1875</v>
      </c>
      <c r="E110" s="142" t="s">
        <v>2093</v>
      </c>
    </row>
    <row r="111">
      <c r="A111" s="155" t="s">
        <v>58</v>
      </c>
      <c r="B111" s="7" t="s">
        <v>15</v>
      </c>
      <c r="C111" s="142" t="s">
        <v>2094</v>
      </c>
      <c r="D111" s="142" t="s">
        <v>1878</v>
      </c>
      <c r="E111" s="142" t="s">
        <v>2095</v>
      </c>
    </row>
    <row r="112">
      <c r="A112" s="155" t="s">
        <v>58</v>
      </c>
      <c r="B112" s="7" t="s">
        <v>15</v>
      </c>
      <c r="C112" s="142" t="s">
        <v>2096</v>
      </c>
      <c r="D112" s="142" t="s">
        <v>1878</v>
      </c>
      <c r="E112" s="142" t="s">
        <v>2097</v>
      </c>
    </row>
    <row r="113">
      <c r="A113" s="155" t="s">
        <v>58</v>
      </c>
      <c r="B113" s="7" t="s">
        <v>15</v>
      </c>
      <c r="C113" s="142" t="s">
        <v>2098</v>
      </c>
      <c r="D113" s="142" t="s">
        <v>1875</v>
      </c>
      <c r="E113" s="142" t="s">
        <v>2099</v>
      </c>
    </row>
    <row r="114">
      <c r="A114" s="155" t="s">
        <v>58</v>
      </c>
      <c r="B114" s="7" t="s">
        <v>15</v>
      </c>
      <c r="C114" s="142" t="s">
        <v>2100</v>
      </c>
      <c r="D114" s="142" t="s">
        <v>1875</v>
      </c>
      <c r="E114" s="142" t="s">
        <v>2101</v>
      </c>
    </row>
    <row r="115">
      <c r="A115" s="155" t="s">
        <v>58</v>
      </c>
      <c r="B115" s="7" t="s">
        <v>15</v>
      </c>
      <c r="C115" s="142" t="s">
        <v>2102</v>
      </c>
      <c r="D115" s="142" t="s">
        <v>1875</v>
      </c>
      <c r="E115" s="142" t="s">
        <v>2103</v>
      </c>
    </row>
    <row r="116">
      <c r="A116" s="155" t="s">
        <v>58</v>
      </c>
      <c r="B116" s="7" t="s">
        <v>15</v>
      </c>
      <c r="C116" s="142" t="s">
        <v>2104</v>
      </c>
      <c r="D116" s="142" t="s">
        <v>2105</v>
      </c>
      <c r="E116" s="142" t="s">
        <v>2106</v>
      </c>
    </row>
    <row r="117">
      <c r="A117" s="155" t="s">
        <v>58</v>
      </c>
      <c r="B117" s="7" t="s">
        <v>15</v>
      </c>
      <c r="C117" s="142" t="s">
        <v>2107</v>
      </c>
      <c r="D117" s="142" t="s">
        <v>1947</v>
      </c>
      <c r="E117" s="142" t="s">
        <v>2108</v>
      </c>
    </row>
    <row r="118">
      <c r="A118" s="155" t="s">
        <v>60</v>
      </c>
      <c r="B118" s="7" t="s">
        <v>15</v>
      </c>
      <c r="C118" s="142" t="s">
        <v>2109</v>
      </c>
      <c r="D118" s="142" t="s">
        <v>1878</v>
      </c>
      <c r="E118" s="142" t="s">
        <v>2110</v>
      </c>
    </row>
    <row r="119">
      <c r="A119" s="155" t="s">
        <v>60</v>
      </c>
      <c r="B119" s="7" t="s">
        <v>15</v>
      </c>
      <c r="C119" s="142" t="s">
        <v>2111</v>
      </c>
      <c r="D119" s="142" t="s">
        <v>1875</v>
      </c>
      <c r="E119" s="142" t="s">
        <v>2112</v>
      </c>
    </row>
    <row r="120">
      <c r="A120" s="155" t="s">
        <v>60</v>
      </c>
      <c r="B120" s="7" t="s">
        <v>15</v>
      </c>
      <c r="C120" s="142" t="s">
        <v>2113</v>
      </c>
      <c r="D120" s="142" t="s">
        <v>1878</v>
      </c>
      <c r="E120" s="142" t="s">
        <v>2114</v>
      </c>
    </row>
    <row r="121">
      <c r="A121" s="155" t="s">
        <v>60</v>
      </c>
      <c r="B121" s="7" t="s">
        <v>15</v>
      </c>
      <c r="C121" s="142" t="s">
        <v>2115</v>
      </c>
      <c r="D121" s="142" t="s">
        <v>1947</v>
      </c>
      <c r="E121" s="142" t="s">
        <v>2116</v>
      </c>
    </row>
    <row r="122">
      <c r="A122" s="155" t="s">
        <v>60</v>
      </c>
      <c r="B122" s="7" t="s">
        <v>15</v>
      </c>
      <c r="C122" s="142" t="s">
        <v>2117</v>
      </c>
      <c r="D122" s="142" t="s">
        <v>1878</v>
      </c>
      <c r="E122" s="142" t="s">
        <v>2118</v>
      </c>
    </row>
    <row r="123">
      <c r="A123" s="155" t="s">
        <v>60</v>
      </c>
      <c r="B123" s="7" t="s">
        <v>15</v>
      </c>
      <c r="C123" s="142" t="s">
        <v>2119</v>
      </c>
      <c r="D123" s="142" t="s">
        <v>1878</v>
      </c>
      <c r="E123" s="142" t="s">
        <v>2120</v>
      </c>
    </row>
    <row r="124">
      <c r="A124" s="155" t="s">
        <v>60</v>
      </c>
      <c r="B124" s="7" t="s">
        <v>15</v>
      </c>
      <c r="C124" s="142" t="s">
        <v>2121</v>
      </c>
      <c r="D124" s="142" t="s">
        <v>1947</v>
      </c>
      <c r="E124" s="142" t="s">
        <v>2122</v>
      </c>
    </row>
    <row r="125">
      <c r="A125" s="155" t="s">
        <v>60</v>
      </c>
      <c r="B125" s="7" t="s">
        <v>15</v>
      </c>
      <c r="C125" s="142" t="s">
        <v>2123</v>
      </c>
      <c r="D125" s="142" t="s">
        <v>1875</v>
      </c>
      <c r="E125" s="142" t="s">
        <v>2124</v>
      </c>
    </row>
    <row r="126">
      <c r="A126" s="155" t="s">
        <v>60</v>
      </c>
      <c r="B126" s="7" t="s">
        <v>15</v>
      </c>
      <c r="C126" s="142" t="s">
        <v>2125</v>
      </c>
      <c r="D126" s="142" t="s">
        <v>1916</v>
      </c>
      <c r="E126" s="142" t="s">
        <v>2126</v>
      </c>
    </row>
    <row r="127">
      <c r="A127" s="155" t="s">
        <v>60</v>
      </c>
      <c r="B127" s="7" t="s">
        <v>15</v>
      </c>
      <c r="C127" s="142" t="s">
        <v>2127</v>
      </c>
      <c r="D127" s="142" t="s">
        <v>1875</v>
      </c>
      <c r="E127" s="142" t="s">
        <v>2128</v>
      </c>
    </row>
    <row r="128">
      <c r="A128" s="155" t="s">
        <v>60</v>
      </c>
      <c r="B128" s="7" t="s">
        <v>15</v>
      </c>
      <c r="C128" s="142" t="s">
        <v>2129</v>
      </c>
      <c r="D128" s="142" t="s">
        <v>1875</v>
      </c>
      <c r="E128" s="142" t="s">
        <v>2130</v>
      </c>
    </row>
    <row r="129">
      <c r="A129" s="155" t="s">
        <v>60</v>
      </c>
      <c r="B129" s="7" t="s">
        <v>15</v>
      </c>
      <c r="C129" s="142" t="s">
        <v>2131</v>
      </c>
      <c r="D129" s="142" t="s">
        <v>1875</v>
      </c>
      <c r="E129" s="142" t="s">
        <v>2132</v>
      </c>
    </row>
    <row r="130">
      <c r="A130" s="155" t="s">
        <v>60</v>
      </c>
      <c r="B130" s="7" t="s">
        <v>15</v>
      </c>
      <c r="C130" s="142" t="s">
        <v>2133</v>
      </c>
      <c r="D130" s="142" t="s">
        <v>1878</v>
      </c>
      <c r="E130" s="142" t="s">
        <v>2134</v>
      </c>
    </row>
    <row r="131">
      <c r="A131" s="155" t="s">
        <v>60</v>
      </c>
      <c r="B131" s="7" t="s">
        <v>15</v>
      </c>
      <c r="C131" s="142" t="s">
        <v>2135</v>
      </c>
      <c r="D131" s="142" t="s">
        <v>1878</v>
      </c>
      <c r="E131" s="142" t="s">
        <v>2136</v>
      </c>
    </row>
    <row r="132">
      <c r="A132" s="155" t="s">
        <v>62</v>
      </c>
      <c r="B132" s="7" t="s">
        <v>15</v>
      </c>
      <c r="C132" s="142" t="s">
        <v>2137</v>
      </c>
      <c r="D132" s="142" t="s">
        <v>1875</v>
      </c>
      <c r="E132" s="142" t="s">
        <v>2138</v>
      </c>
    </row>
    <row r="133">
      <c r="A133" s="155" t="s">
        <v>62</v>
      </c>
      <c r="B133" s="7" t="s">
        <v>15</v>
      </c>
      <c r="C133" s="142" t="s">
        <v>2072</v>
      </c>
      <c r="D133" s="142" t="s">
        <v>2139</v>
      </c>
      <c r="E133" s="142" t="s">
        <v>2140</v>
      </c>
    </row>
    <row r="134">
      <c r="A134" s="155" t="s">
        <v>62</v>
      </c>
      <c r="B134" s="7" t="s">
        <v>15</v>
      </c>
      <c r="C134" s="142" t="s">
        <v>2141</v>
      </c>
      <c r="D134" s="142" t="s">
        <v>1875</v>
      </c>
      <c r="E134" s="142" t="s">
        <v>2142</v>
      </c>
    </row>
    <row r="135">
      <c r="A135" s="155" t="s">
        <v>62</v>
      </c>
      <c r="B135" s="7" t="s">
        <v>15</v>
      </c>
      <c r="C135" s="142" t="s">
        <v>2143</v>
      </c>
      <c r="D135" s="142" t="s">
        <v>1875</v>
      </c>
      <c r="E135" s="142" t="s">
        <v>2144</v>
      </c>
    </row>
    <row r="136">
      <c r="A136" s="155" t="s">
        <v>62</v>
      </c>
      <c r="B136" s="7" t="s">
        <v>15</v>
      </c>
      <c r="C136" s="142" t="s">
        <v>2145</v>
      </c>
      <c r="D136" s="142" t="s">
        <v>1872</v>
      </c>
      <c r="E136" s="142" t="s">
        <v>2146</v>
      </c>
    </row>
    <row r="137">
      <c r="A137" s="155" t="s">
        <v>62</v>
      </c>
      <c r="B137" s="7" t="s">
        <v>15</v>
      </c>
      <c r="C137" s="142" t="s">
        <v>2147</v>
      </c>
      <c r="D137" s="142" t="s">
        <v>1875</v>
      </c>
      <c r="E137" s="142" t="s">
        <v>2148</v>
      </c>
    </row>
    <row r="138">
      <c r="A138" s="155" t="s">
        <v>62</v>
      </c>
      <c r="B138" s="7" t="s">
        <v>15</v>
      </c>
      <c r="C138" s="142" t="s">
        <v>2149</v>
      </c>
      <c r="D138" s="142" t="s">
        <v>1916</v>
      </c>
      <c r="E138" s="142" t="s">
        <v>2150</v>
      </c>
    </row>
    <row r="139">
      <c r="A139" s="155" t="s">
        <v>62</v>
      </c>
      <c r="B139" s="7" t="s">
        <v>15</v>
      </c>
      <c r="C139" s="142" t="s">
        <v>2151</v>
      </c>
      <c r="D139" s="142" t="s">
        <v>1878</v>
      </c>
      <c r="E139" s="142" t="s">
        <v>2152</v>
      </c>
    </row>
    <row r="140">
      <c r="A140" s="155" t="s">
        <v>62</v>
      </c>
      <c r="B140" s="7" t="s">
        <v>15</v>
      </c>
      <c r="C140" s="142" t="s">
        <v>2153</v>
      </c>
      <c r="D140" s="142" t="s">
        <v>1878</v>
      </c>
      <c r="E140" s="142" t="s">
        <v>2154</v>
      </c>
    </row>
    <row r="141">
      <c r="A141" s="155" t="s">
        <v>62</v>
      </c>
      <c r="B141" s="7" t="s">
        <v>15</v>
      </c>
      <c r="C141" s="142" t="s">
        <v>2155</v>
      </c>
      <c r="D141" s="142" t="s">
        <v>1875</v>
      </c>
      <c r="E141" s="142" t="s">
        <v>2156</v>
      </c>
    </row>
    <row r="142">
      <c r="A142" s="155" t="s">
        <v>64</v>
      </c>
      <c r="B142" s="7" t="s">
        <v>15</v>
      </c>
      <c r="C142" s="142" t="s">
        <v>2157</v>
      </c>
      <c r="D142" s="142" t="s">
        <v>2158</v>
      </c>
      <c r="E142" s="142" t="s">
        <v>2159</v>
      </c>
    </row>
    <row r="143">
      <c r="A143" s="155" t="s">
        <v>64</v>
      </c>
      <c r="B143" s="7" t="s">
        <v>15</v>
      </c>
      <c r="C143" s="142" t="s">
        <v>2160</v>
      </c>
      <c r="D143" s="142" t="s">
        <v>2161</v>
      </c>
      <c r="E143" s="142" t="s">
        <v>2162</v>
      </c>
    </row>
    <row r="144">
      <c r="A144" s="155" t="s">
        <v>64</v>
      </c>
      <c r="B144" s="7" t="s">
        <v>15</v>
      </c>
      <c r="C144" s="142" t="s">
        <v>2163</v>
      </c>
      <c r="D144" s="142" t="s">
        <v>1875</v>
      </c>
      <c r="E144" s="142" t="s">
        <v>2164</v>
      </c>
    </row>
    <row r="145">
      <c r="A145" s="155" t="s">
        <v>64</v>
      </c>
      <c r="B145" s="7" t="s">
        <v>15</v>
      </c>
      <c r="C145" s="142" t="s">
        <v>2165</v>
      </c>
      <c r="D145" s="142" t="s">
        <v>2158</v>
      </c>
      <c r="E145" s="142" t="s">
        <v>2166</v>
      </c>
    </row>
    <row r="146">
      <c r="A146" s="155" t="s">
        <v>64</v>
      </c>
      <c r="B146" s="7" t="s">
        <v>15</v>
      </c>
      <c r="C146" s="142" t="s">
        <v>2167</v>
      </c>
      <c r="D146" s="142" t="s">
        <v>2158</v>
      </c>
      <c r="E146" s="142" t="s">
        <v>2168</v>
      </c>
    </row>
    <row r="147">
      <c r="A147" s="155" t="s">
        <v>64</v>
      </c>
      <c r="B147" s="7" t="s">
        <v>15</v>
      </c>
      <c r="C147" s="142" t="s">
        <v>2169</v>
      </c>
      <c r="D147" s="142" t="s">
        <v>2158</v>
      </c>
      <c r="E147" s="142" t="s">
        <v>2170</v>
      </c>
    </row>
    <row r="148">
      <c r="A148" s="155" t="s">
        <v>64</v>
      </c>
      <c r="B148" s="7" t="s">
        <v>15</v>
      </c>
      <c r="C148" s="142" t="s">
        <v>952</v>
      </c>
      <c r="D148" s="142" t="s">
        <v>2158</v>
      </c>
      <c r="E148" s="142" t="s">
        <v>2171</v>
      </c>
    </row>
    <row r="149">
      <c r="A149" s="155" t="s">
        <v>64</v>
      </c>
      <c r="B149" s="7" t="s">
        <v>15</v>
      </c>
      <c r="C149" s="142" t="s">
        <v>2172</v>
      </c>
      <c r="D149" s="142" t="s">
        <v>1872</v>
      </c>
      <c r="E149" s="142" t="s">
        <v>2173</v>
      </c>
    </row>
    <row r="150">
      <c r="A150" s="155" t="s">
        <v>64</v>
      </c>
      <c r="B150" s="7" t="s">
        <v>15</v>
      </c>
      <c r="C150" s="142" t="s">
        <v>2174</v>
      </c>
      <c r="D150" s="142" t="s">
        <v>1872</v>
      </c>
      <c r="E150" s="142" t="s">
        <v>2175</v>
      </c>
    </row>
    <row r="151">
      <c r="A151" s="155" t="s">
        <v>64</v>
      </c>
      <c r="B151" s="7" t="s">
        <v>15</v>
      </c>
      <c r="C151" s="142" t="s">
        <v>2176</v>
      </c>
      <c r="D151" s="142" t="s">
        <v>2161</v>
      </c>
      <c r="E151" s="142" t="s">
        <v>2177</v>
      </c>
    </row>
    <row r="152">
      <c r="A152" s="155" t="s">
        <v>64</v>
      </c>
      <c r="B152" s="7" t="s">
        <v>15</v>
      </c>
      <c r="C152" s="142" t="s">
        <v>2178</v>
      </c>
      <c r="D152" s="142" t="s">
        <v>2161</v>
      </c>
      <c r="E152" s="142" t="s">
        <v>2179</v>
      </c>
    </row>
    <row r="153">
      <c r="A153" s="7" t="s">
        <v>66</v>
      </c>
      <c r="B153" s="7" t="s">
        <v>15</v>
      </c>
      <c r="C153" s="142" t="s">
        <v>497</v>
      </c>
      <c r="D153" s="142" t="s">
        <v>1878</v>
      </c>
      <c r="E153" s="142" t="s">
        <v>2180</v>
      </c>
    </row>
    <row r="154">
      <c r="A154" s="7" t="s">
        <v>66</v>
      </c>
      <c r="B154" s="7" t="s">
        <v>15</v>
      </c>
      <c r="C154" s="142" t="s">
        <v>2181</v>
      </c>
      <c r="D154" s="142" t="s">
        <v>1878</v>
      </c>
      <c r="E154" s="142" t="s">
        <v>2182</v>
      </c>
    </row>
    <row r="155">
      <c r="A155" s="7" t="s">
        <v>66</v>
      </c>
      <c r="B155" s="7" t="s">
        <v>15</v>
      </c>
      <c r="C155" s="142" t="s">
        <v>2183</v>
      </c>
      <c r="D155" s="142" t="s">
        <v>1875</v>
      </c>
      <c r="E155" s="142" t="s">
        <v>2184</v>
      </c>
    </row>
    <row r="156">
      <c r="A156" s="7" t="s">
        <v>66</v>
      </c>
      <c r="B156" s="7" t="s">
        <v>15</v>
      </c>
      <c r="C156" s="142" t="s">
        <v>980</v>
      </c>
      <c r="D156" s="142" t="s">
        <v>1875</v>
      </c>
      <c r="E156" s="142" t="s">
        <v>2185</v>
      </c>
    </row>
    <row r="157">
      <c r="A157" s="7" t="s">
        <v>66</v>
      </c>
      <c r="B157" s="7" t="s">
        <v>15</v>
      </c>
      <c r="C157" s="142" t="s">
        <v>2186</v>
      </c>
      <c r="D157" s="142" t="s">
        <v>1878</v>
      </c>
      <c r="E157" s="142" t="s">
        <v>2187</v>
      </c>
    </row>
    <row r="158">
      <c r="A158" s="7" t="s">
        <v>66</v>
      </c>
      <c r="B158" s="7" t="s">
        <v>15</v>
      </c>
      <c r="C158" s="142" t="s">
        <v>2188</v>
      </c>
      <c r="D158" s="142" t="s">
        <v>1875</v>
      </c>
      <c r="E158" s="142" t="s">
        <v>2189</v>
      </c>
    </row>
    <row r="159">
      <c r="A159" s="7" t="s">
        <v>66</v>
      </c>
      <c r="B159" s="7" t="s">
        <v>15</v>
      </c>
      <c r="C159" s="142" t="s">
        <v>2190</v>
      </c>
      <c r="D159" s="142" t="s">
        <v>1878</v>
      </c>
      <c r="E159" s="142" t="s">
        <v>2191</v>
      </c>
    </row>
    <row r="160">
      <c r="A160" s="7" t="s">
        <v>66</v>
      </c>
      <c r="B160" s="7" t="s">
        <v>15</v>
      </c>
      <c r="C160" s="142" t="s">
        <v>2192</v>
      </c>
      <c r="D160" s="142" t="s">
        <v>1947</v>
      </c>
      <c r="E160" s="142" t="s">
        <v>2193</v>
      </c>
    </row>
    <row r="161">
      <c r="A161" s="7" t="s">
        <v>66</v>
      </c>
      <c r="B161" s="7" t="s">
        <v>15</v>
      </c>
      <c r="C161" s="142" t="s">
        <v>2194</v>
      </c>
      <c r="D161" s="142" t="s">
        <v>1875</v>
      </c>
      <c r="E161" s="142" t="s">
        <v>2195</v>
      </c>
    </row>
    <row r="162">
      <c r="A162" s="7" t="s">
        <v>66</v>
      </c>
      <c r="B162" s="7" t="s">
        <v>15</v>
      </c>
      <c r="C162" s="142" t="s">
        <v>2196</v>
      </c>
      <c r="D162" s="142" t="s">
        <v>1947</v>
      </c>
      <c r="E162" s="142" t="s">
        <v>2197</v>
      </c>
    </row>
    <row r="163">
      <c r="A163" s="7" t="s">
        <v>66</v>
      </c>
      <c r="B163" s="7" t="s">
        <v>15</v>
      </c>
      <c r="C163" s="142" t="s">
        <v>2198</v>
      </c>
      <c r="D163" s="142" t="s">
        <v>1878</v>
      </c>
      <c r="E163" s="142" t="s">
        <v>2199</v>
      </c>
    </row>
    <row r="164">
      <c r="A164" s="7" t="s">
        <v>66</v>
      </c>
      <c r="B164" s="7" t="s">
        <v>15</v>
      </c>
      <c r="C164" s="142" t="s">
        <v>2200</v>
      </c>
      <c r="D164" s="142" t="s">
        <v>1875</v>
      </c>
      <c r="E164" s="142" t="s">
        <v>2201</v>
      </c>
    </row>
    <row r="165">
      <c r="A165" s="7" t="s">
        <v>68</v>
      </c>
      <c r="B165" s="7" t="s">
        <v>15</v>
      </c>
      <c r="C165" s="142" t="s">
        <v>2202</v>
      </c>
      <c r="D165" s="142" t="s">
        <v>1905</v>
      </c>
      <c r="E165" s="142" t="s">
        <v>2203</v>
      </c>
    </row>
    <row r="166">
      <c r="A166" s="7" t="s">
        <v>68</v>
      </c>
      <c r="B166" s="7" t="s">
        <v>15</v>
      </c>
      <c r="C166" s="142" t="s">
        <v>2204</v>
      </c>
      <c r="D166" s="142" t="s">
        <v>1875</v>
      </c>
      <c r="E166" s="142" t="s">
        <v>2205</v>
      </c>
    </row>
    <row r="167">
      <c r="A167" s="7" t="s">
        <v>68</v>
      </c>
      <c r="B167" s="7" t="s">
        <v>15</v>
      </c>
      <c r="C167" s="142" t="s">
        <v>2206</v>
      </c>
      <c r="D167" s="142" t="s">
        <v>1947</v>
      </c>
      <c r="E167" s="142" t="s">
        <v>2207</v>
      </c>
    </row>
    <row r="168">
      <c r="A168" s="7" t="s">
        <v>68</v>
      </c>
      <c r="B168" s="7" t="s">
        <v>15</v>
      </c>
      <c r="C168" s="155" t="s">
        <v>2208</v>
      </c>
      <c r="D168" s="142" t="s">
        <v>1878</v>
      </c>
      <c r="E168" s="142" t="s">
        <v>2209</v>
      </c>
    </row>
    <row r="169">
      <c r="A169" s="7" t="s">
        <v>68</v>
      </c>
      <c r="B169" s="7" t="s">
        <v>15</v>
      </c>
      <c r="C169" s="142" t="s">
        <v>2210</v>
      </c>
      <c r="D169" s="142" t="s">
        <v>1878</v>
      </c>
      <c r="E169" s="142" t="s">
        <v>2211</v>
      </c>
    </row>
    <row r="170">
      <c r="A170" s="7" t="s">
        <v>68</v>
      </c>
      <c r="B170" s="7" t="s">
        <v>15</v>
      </c>
      <c r="C170" s="142" t="s">
        <v>1955</v>
      </c>
      <c r="D170" s="142" t="s">
        <v>1875</v>
      </c>
      <c r="E170" s="142" t="s">
        <v>2212</v>
      </c>
    </row>
    <row r="171">
      <c r="A171" s="7" t="s">
        <v>68</v>
      </c>
      <c r="B171" s="7" t="s">
        <v>15</v>
      </c>
      <c r="C171" s="142" t="s">
        <v>2213</v>
      </c>
      <c r="D171" s="142" t="s">
        <v>1875</v>
      </c>
      <c r="E171" s="155" t="s">
        <v>2214</v>
      </c>
    </row>
    <row r="172">
      <c r="A172" s="7" t="s">
        <v>70</v>
      </c>
      <c r="B172" s="7" t="s">
        <v>15</v>
      </c>
      <c r="C172" s="142" t="s">
        <v>2215</v>
      </c>
      <c r="D172" s="142" t="s">
        <v>1872</v>
      </c>
      <c r="E172" s="139" t="s">
        <v>2216</v>
      </c>
    </row>
    <row r="173">
      <c r="A173" s="7" t="s">
        <v>70</v>
      </c>
      <c r="B173" s="7" t="s">
        <v>15</v>
      </c>
      <c r="C173" s="142" t="s">
        <v>1907</v>
      </c>
      <c r="D173" s="142" t="s">
        <v>1875</v>
      </c>
      <c r="E173" s="139" t="s">
        <v>2217</v>
      </c>
    </row>
    <row r="174">
      <c r="A174" s="7" t="s">
        <v>70</v>
      </c>
      <c r="B174" s="7" t="s">
        <v>15</v>
      </c>
      <c r="C174" s="142" t="s">
        <v>2218</v>
      </c>
      <c r="D174" s="142" t="s">
        <v>1872</v>
      </c>
      <c r="E174" s="139" t="s">
        <v>2219</v>
      </c>
    </row>
    <row r="175">
      <c r="A175" s="7" t="s">
        <v>70</v>
      </c>
      <c r="B175" s="7" t="s">
        <v>15</v>
      </c>
      <c r="C175" s="142" t="s">
        <v>2220</v>
      </c>
      <c r="D175" s="142" t="s">
        <v>1947</v>
      </c>
      <c r="E175" s="139" t="s">
        <v>2221</v>
      </c>
    </row>
    <row r="176">
      <c r="A176" s="7" t="s">
        <v>70</v>
      </c>
      <c r="B176" s="7" t="s">
        <v>15</v>
      </c>
      <c r="C176" s="142" t="s">
        <v>2222</v>
      </c>
      <c r="D176" s="142" t="s">
        <v>1905</v>
      </c>
      <c r="E176" s="139" t="s">
        <v>2223</v>
      </c>
    </row>
    <row r="177">
      <c r="A177" s="7" t="s">
        <v>70</v>
      </c>
      <c r="B177" s="7" t="s">
        <v>15</v>
      </c>
      <c r="C177" s="142" t="s">
        <v>2224</v>
      </c>
      <c r="D177" s="142" t="s">
        <v>1905</v>
      </c>
      <c r="E177" s="139" t="s">
        <v>2225</v>
      </c>
    </row>
    <row r="178">
      <c r="A178" s="7" t="s">
        <v>70</v>
      </c>
      <c r="B178" s="7" t="s">
        <v>15</v>
      </c>
      <c r="C178" s="142" t="s">
        <v>2226</v>
      </c>
      <c r="D178" s="142" t="s">
        <v>1905</v>
      </c>
      <c r="E178" s="139" t="s">
        <v>2227</v>
      </c>
    </row>
    <row r="179">
      <c r="A179" s="7" t="s">
        <v>70</v>
      </c>
      <c r="B179" s="7" t="s">
        <v>15</v>
      </c>
      <c r="C179" s="142" t="s">
        <v>2009</v>
      </c>
      <c r="D179" s="142" t="s">
        <v>1905</v>
      </c>
      <c r="E179" s="139" t="s">
        <v>2228</v>
      </c>
    </row>
    <row r="180">
      <c r="A180" s="7" t="s">
        <v>70</v>
      </c>
      <c r="B180" s="7" t="s">
        <v>15</v>
      </c>
      <c r="C180" s="142" t="s">
        <v>2229</v>
      </c>
      <c r="D180" s="142" t="s">
        <v>1905</v>
      </c>
      <c r="E180" s="139" t="s">
        <v>2230</v>
      </c>
    </row>
    <row r="181">
      <c r="A181" s="7" t="s">
        <v>70</v>
      </c>
      <c r="B181" s="7" t="s">
        <v>15</v>
      </c>
      <c r="C181" s="142" t="s">
        <v>2231</v>
      </c>
      <c r="D181" s="142" t="s">
        <v>1905</v>
      </c>
      <c r="E181" s="139" t="s">
        <v>2232</v>
      </c>
    </row>
    <row r="182">
      <c r="A182" s="7" t="s">
        <v>70</v>
      </c>
      <c r="B182" s="7" t="s">
        <v>15</v>
      </c>
      <c r="C182" s="142" t="s">
        <v>2233</v>
      </c>
      <c r="D182" s="142" t="s">
        <v>1872</v>
      </c>
      <c r="E182" s="139" t="s">
        <v>2234</v>
      </c>
    </row>
    <row r="183">
      <c r="A183" s="7" t="s">
        <v>70</v>
      </c>
      <c r="B183" s="7" t="s">
        <v>15</v>
      </c>
      <c r="C183" s="142" t="s">
        <v>2235</v>
      </c>
      <c r="D183" s="142" t="s">
        <v>1878</v>
      </c>
      <c r="E183" s="139" t="s">
        <v>2236</v>
      </c>
    </row>
    <row r="184">
      <c r="A184" s="7" t="s">
        <v>70</v>
      </c>
      <c r="B184" s="7" t="s">
        <v>15</v>
      </c>
      <c r="C184" s="142" t="s">
        <v>2237</v>
      </c>
      <c r="D184" s="142" t="s">
        <v>1878</v>
      </c>
      <c r="E184" s="139" t="s">
        <v>2238</v>
      </c>
    </row>
    <row r="185">
      <c r="A185" s="7" t="s">
        <v>72</v>
      </c>
      <c r="B185" s="7" t="s">
        <v>15</v>
      </c>
      <c r="C185" s="142" t="s">
        <v>2239</v>
      </c>
      <c r="D185" s="142" t="s">
        <v>1878</v>
      </c>
      <c r="E185" s="139" t="s">
        <v>2240</v>
      </c>
    </row>
    <row r="186">
      <c r="A186" s="7" t="s">
        <v>72</v>
      </c>
      <c r="B186" s="7" t="s">
        <v>15</v>
      </c>
      <c r="C186" s="142" t="s">
        <v>2241</v>
      </c>
      <c r="D186" s="142" t="s">
        <v>1878</v>
      </c>
      <c r="E186" s="139" t="s">
        <v>2242</v>
      </c>
    </row>
    <row r="187">
      <c r="A187" s="7" t="s">
        <v>72</v>
      </c>
      <c r="B187" s="7" t="s">
        <v>15</v>
      </c>
      <c r="C187" s="142" t="s">
        <v>2243</v>
      </c>
      <c r="D187" s="142" t="s">
        <v>1878</v>
      </c>
      <c r="E187" s="139" t="s">
        <v>2244</v>
      </c>
    </row>
    <row r="188">
      <c r="A188" s="7" t="s">
        <v>72</v>
      </c>
      <c r="B188" s="7" t="s">
        <v>15</v>
      </c>
      <c r="C188" s="142" t="s">
        <v>2245</v>
      </c>
      <c r="D188" s="142" t="s">
        <v>1872</v>
      </c>
      <c r="E188" s="139" t="s">
        <v>2246</v>
      </c>
    </row>
    <row r="189">
      <c r="A189" s="7" t="s">
        <v>72</v>
      </c>
      <c r="B189" s="7" t="s">
        <v>15</v>
      </c>
      <c r="C189" s="142" t="s">
        <v>2247</v>
      </c>
      <c r="D189" s="142" t="s">
        <v>1872</v>
      </c>
      <c r="E189" s="139" t="s">
        <v>2248</v>
      </c>
    </row>
    <row r="190">
      <c r="A190" s="7" t="s">
        <v>72</v>
      </c>
      <c r="B190" s="7" t="s">
        <v>15</v>
      </c>
      <c r="C190" s="142" t="s">
        <v>2249</v>
      </c>
      <c r="D190" s="142" t="s">
        <v>1878</v>
      </c>
      <c r="E190" s="139" t="s">
        <v>2250</v>
      </c>
    </row>
    <row r="191">
      <c r="A191" s="7" t="s">
        <v>74</v>
      </c>
      <c r="B191" s="7" t="s">
        <v>15</v>
      </c>
      <c r="C191" s="142" t="s">
        <v>2251</v>
      </c>
      <c r="D191" s="142" t="s">
        <v>1875</v>
      </c>
      <c r="E191" s="139" t="s">
        <v>2252</v>
      </c>
    </row>
    <row r="192">
      <c r="A192" s="7" t="s">
        <v>74</v>
      </c>
      <c r="B192" s="7" t="s">
        <v>15</v>
      </c>
      <c r="C192" s="142" t="s">
        <v>2253</v>
      </c>
      <c r="D192" s="142" t="s">
        <v>1947</v>
      </c>
      <c r="E192" s="139" t="s">
        <v>2254</v>
      </c>
    </row>
    <row r="193">
      <c r="A193" s="7" t="s">
        <v>74</v>
      </c>
      <c r="B193" s="7" t="s">
        <v>15</v>
      </c>
      <c r="C193" s="142" t="s">
        <v>2255</v>
      </c>
      <c r="D193" s="142" t="s">
        <v>1878</v>
      </c>
      <c r="E193" s="139" t="s">
        <v>2256</v>
      </c>
    </row>
    <row r="194">
      <c r="A194" s="7" t="s">
        <v>74</v>
      </c>
      <c r="B194" s="7" t="s">
        <v>15</v>
      </c>
      <c r="C194" s="142" t="s">
        <v>2257</v>
      </c>
      <c r="D194" s="142" t="s">
        <v>1872</v>
      </c>
      <c r="E194" s="139" t="s">
        <v>2258</v>
      </c>
    </row>
    <row r="195">
      <c r="A195" s="7" t="s">
        <v>74</v>
      </c>
      <c r="B195" s="7" t="s">
        <v>15</v>
      </c>
      <c r="C195" s="142" t="s">
        <v>2259</v>
      </c>
      <c r="D195" s="142" t="s">
        <v>1872</v>
      </c>
      <c r="E195" s="139" t="s">
        <v>2260</v>
      </c>
    </row>
    <row r="196">
      <c r="A196" s="7" t="s">
        <v>74</v>
      </c>
      <c r="B196" s="7" t="s">
        <v>15</v>
      </c>
      <c r="C196" s="142" t="s">
        <v>2261</v>
      </c>
      <c r="D196" s="142" t="s">
        <v>1872</v>
      </c>
      <c r="E196" s="139" t="s">
        <v>2262</v>
      </c>
    </row>
    <row r="197">
      <c r="A197" s="7" t="s">
        <v>74</v>
      </c>
      <c r="B197" s="7" t="s">
        <v>15</v>
      </c>
      <c r="C197" s="142" t="s">
        <v>2263</v>
      </c>
      <c r="D197" s="142" t="s">
        <v>1875</v>
      </c>
      <c r="E197" s="139" t="s">
        <v>2264</v>
      </c>
    </row>
    <row r="198">
      <c r="A198" s="7" t="s">
        <v>74</v>
      </c>
      <c r="B198" s="7" t="s">
        <v>15</v>
      </c>
      <c r="C198" s="142" t="s">
        <v>2265</v>
      </c>
      <c r="D198" s="142" t="s">
        <v>1875</v>
      </c>
      <c r="E198" s="139" t="s">
        <v>2266</v>
      </c>
    </row>
    <row r="199">
      <c r="A199" s="7" t="s">
        <v>74</v>
      </c>
      <c r="B199" s="7" t="s">
        <v>15</v>
      </c>
      <c r="C199" s="142" t="s">
        <v>2267</v>
      </c>
      <c r="D199" s="142" t="s">
        <v>1947</v>
      </c>
      <c r="E199" s="139" t="s">
        <v>2268</v>
      </c>
    </row>
    <row r="200">
      <c r="A200" s="7" t="s">
        <v>74</v>
      </c>
      <c r="B200" s="7" t="s">
        <v>15</v>
      </c>
      <c r="C200" s="142" t="s">
        <v>147</v>
      </c>
      <c r="D200" s="142" t="s">
        <v>1947</v>
      </c>
      <c r="E200" s="139" t="s">
        <v>2269</v>
      </c>
    </row>
    <row r="201">
      <c r="A201" s="7" t="s">
        <v>77</v>
      </c>
      <c r="B201" s="7" t="s">
        <v>15</v>
      </c>
      <c r="C201" s="142" t="s">
        <v>2270</v>
      </c>
      <c r="D201" s="142" t="s">
        <v>1875</v>
      </c>
      <c r="E201" s="139" t="s">
        <v>2271</v>
      </c>
    </row>
    <row r="202">
      <c r="A202" s="7" t="s">
        <v>77</v>
      </c>
      <c r="B202" s="7" t="s">
        <v>15</v>
      </c>
      <c r="C202" s="142" t="s">
        <v>2272</v>
      </c>
      <c r="D202" s="142" t="s">
        <v>1875</v>
      </c>
      <c r="E202" s="139" t="s">
        <v>2273</v>
      </c>
    </row>
    <row r="203">
      <c r="A203" s="7" t="s">
        <v>77</v>
      </c>
      <c r="B203" s="7" t="s">
        <v>15</v>
      </c>
      <c r="C203" s="142" t="s">
        <v>2274</v>
      </c>
      <c r="D203" s="142" t="s">
        <v>1902</v>
      </c>
      <c r="E203" s="139" t="s">
        <v>2275</v>
      </c>
    </row>
    <row r="204">
      <c r="A204" s="7" t="s">
        <v>79</v>
      </c>
      <c r="B204" s="7" t="s">
        <v>15</v>
      </c>
      <c r="C204" s="142" t="s">
        <v>2276</v>
      </c>
      <c r="D204" s="142" t="s">
        <v>1872</v>
      </c>
      <c r="E204" s="139" t="s">
        <v>2277</v>
      </c>
    </row>
    <row r="205">
      <c r="A205" s="7" t="s">
        <v>79</v>
      </c>
      <c r="B205" s="7" t="s">
        <v>15</v>
      </c>
      <c r="C205" s="142" t="s">
        <v>2278</v>
      </c>
      <c r="D205" s="142" t="s">
        <v>1905</v>
      </c>
      <c r="E205" s="139" t="s">
        <v>2279</v>
      </c>
    </row>
    <row r="206">
      <c r="A206" s="7" t="s">
        <v>79</v>
      </c>
      <c r="B206" s="7" t="s">
        <v>15</v>
      </c>
      <c r="C206" s="63" t="s">
        <v>2280</v>
      </c>
      <c r="D206" s="142" t="s">
        <v>1875</v>
      </c>
      <c r="E206" s="158" t="s">
        <v>2281</v>
      </c>
    </row>
    <row r="207">
      <c r="A207" s="7" t="s">
        <v>79</v>
      </c>
      <c r="B207" s="7" t="s">
        <v>15</v>
      </c>
      <c r="C207" s="142" t="s">
        <v>2282</v>
      </c>
      <c r="D207" s="142" t="s">
        <v>1878</v>
      </c>
      <c r="E207" s="139" t="s">
        <v>2283</v>
      </c>
    </row>
    <row r="208">
      <c r="A208" s="7" t="s">
        <v>79</v>
      </c>
      <c r="B208" s="7" t="s">
        <v>15</v>
      </c>
      <c r="C208" s="142" t="s">
        <v>2284</v>
      </c>
      <c r="D208" s="142" t="s">
        <v>1947</v>
      </c>
      <c r="E208" s="139" t="s">
        <v>2285</v>
      </c>
    </row>
    <row r="209">
      <c r="A209" s="7" t="s">
        <v>81</v>
      </c>
      <c r="B209" s="7" t="s">
        <v>15</v>
      </c>
      <c r="C209" s="142" t="s">
        <v>2286</v>
      </c>
      <c r="D209" s="142" t="s">
        <v>1872</v>
      </c>
      <c r="E209" s="139" t="s">
        <v>2287</v>
      </c>
    </row>
    <row r="210">
      <c r="A210" s="7" t="s">
        <v>81</v>
      </c>
      <c r="B210" s="7" t="s">
        <v>15</v>
      </c>
      <c r="C210" s="142" t="s">
        <v>2288</v>
      </c>
      <c r="D210" s="142" t="s">
        <v>1947</v>
      </c>
      <c r="E210" s="139" t="s">
        <v>2289</v>
      </c>
    </row>
    <row r="211">
      <c r="A211" s="7" t="s">
        <v>81</v>
      </c>
      <c r="B211" s="7" t="s">
        <v>15</v>
      </c>
      <c r="C211" s="142" t="s">
        <v>2290</v>
      </c>
      <c r="D211" s="142" t="s">
        <v>1875</v>
      </c>
      <c r="E211" s="139" t="s">
        <v>2291</v>
      </c>
    </row>
    <row r="212">
      <c r="A212" s="7" t="s">
        <v>81</v>
      </c>
      <c r="B212" s="7" t="s">
        <v>15</v>
      </c>
      <c r="C212" s="142" t="s">
        <v>2292</v>
      </c>
      <c r="D212" s="142" t="s">
        <v>1902</v>
      </c>
      <c r="E212" s="139" t="s">
        <v>2293</v>
      </c>
    </row>
    <row r="213">
      <c r="A213" s="7" t="s">
        <v>81</v>
      </c>
      <c r="B213" s="7" t="s">
        <v>15</v>
      </c>
      <c r="C213" s="142" t="s">
        <v>2294</v>
      </c>
      <c r="D213" s="142" t="s">
        <v>1878</v>
      </c>
      <c r="E213" s="139" t="s">
        <v>2295</v>
      </c>
    </row>
    <row r="214">
      <c r="A214" s="7" t="s">
        <v>81</v>
      </c>
      <c r="B214" s="7" t="s">
        <v>15</v>
      </c>
      <c r="C214" s="142" t="s">
        <v>2296</v>
      </c>
      <c r="D214" s="142" t="s">
        <v>1875</v>
      </c>
      <c r="E214" s="139" t="s">
        <v>2297</v>
      </c>
    </row>
    <row r="215">
      <c r="A215" s="7" t="s">
        <v>83</v>
      </c>
      <c r="B215" s="7" t="s">
        <v>15</v>
      </c>
      <c r="C215" s="142" t="s">
        <v>2298</v>
      </c>
      <c r="D215" s="142" t="s">
        <v>1902</v>
      </c>
      <c r="E215" s="139" t="s">
        <v>2299</v>
      </c>
    </row>
    <row r="216">
      <c r="A216" s="7" t="s">
        <v>83</v>
      </c>
      <c r="B216" s="7" t="s">
        <v>15</v>
      </c>
      <c r="C216" s="142" t="s">
        <v>2300</v>
      </c>
      <c r="D216" s="142" t="s">
        <v>1947</v>
      </c>
      <c r="E216" s="139" t="s">
        <v>2301</v>
      </c>
    </row>
    <row r="217">
      <c r="A217" s="7" t="s">
        <v>83</v>
      </c>
      <c r="B217" s="7" t="s">
        <v>15</v>
      </c>
      <c r="C217" s="142" t="s">
        <v>2302</v>
      </c>
      <c r="D217" s="142" t="s">
        <v>1905</v>
      </c>
      <c r="E217" s="139" t="s">
        <v>2303</v>
      </c>
    </row>
    <row r="218">
      <c r="A218" s="7" t="s">
        <v>83</v>
      </c>
      <c r="B218" s="7" t="s">
        <v>15</v>
      </c>
      <c r="C218" s="142" t="s">
        <v>2304</v>
      </c>
      <c r="D218" s="142" t="s">
        <v>1875</v>
      </c>
      <c r="E218" s="139" t="s">
        <v>2305</v>
      </c>
    </row>
    <row r="219">
      <c r="A219" s="7" t="s">
        <v>83</v>
      </c>
      <c r="B219" s="7" t="s">
        <v>15</v>
      </c>
      <c r="C219" s="142" t="s">
        <v>2306</v>
      </c>
      <c r="D219" s="142" t="s">
        <v>1878</v>
      </c>
      <c r="E219" s="139" t="s">
        <v>2307</v>
      </c>
    </row>
    <row r="220">
      <c r="A220" s="7" t="s">
        <v>83</v>
      </c>
      <c r="B220" s="7" t="s">
        <v>15</v>
      </c>
      <c r="C220" s="142" t="s">
        <v>2308</v>
      </c>
      <c r="D220" s="142" t="s">
        <v>1875</v>
      </c>
      <c r="E220" s="139" t="s">
        <v>2309</v>
      </c>
    </row>
    <row r="221">
      <c r="A221" s="7" t="s">
        <v>83</v>
      </c>
      <c r="B221" s="7" t="s">
        <v>15</v>
      </c>
      <c r="C221" s="142" t="s">
        <v>2310</v>
      </c>
      <c r="D221" s="142" t="s">
        <v>1878</v>
      </c>
      <c r="E221" s="139" t="s">
        <v>2311</v>
      </c>
    </row>
    <row r="222">
      <c r="A222" s="7" t="s">
        <v>86</v>
      </c>
      <c r="B222" s="7" t="s">
        <v>15</v>
      </c>
      <c r="C222" s="142" t="s">
        <v>2312</v>
      </c>
      <c r="D222" s="142" t="s">
        <v>1902</v>
      </c>
      <c r="E222" s="139" t="s">
        <v>2313</v>
      </c>
    </row>
    <row r="223">
      <c r="A223" s="7" t="s">
        <v>86</v>
      </c>
      <c r="B223" s="7" t="s">
        <v>15</v>
      </c>
      <c r="C223" s="142" t="s">
        <v>2314</v>
      </c>
      <c r="D223" s="142" t="s">
        <v>1875</v>
      </c>
      <c r="E223" s="139" t="s">
        <v>2315</v>
      </c>
    </row>
    <row r="224">
      <c r="A224" s="7" t="s">
        <v>86</v>
      </c>
      <c r="B224" s="7" t="s">
        <v>15</v>
      </c>
      <c r="C224" s="142" t="s">
        <v>2316</v>
      </c>
      <c r="D224" s="142" t="s">
        <v>1872</v>
      </c>
      <c r="E224" s="139" t="s">
        <v>2317</v>
      </c>
    </row>
    <row r="225">
      <c r="A225" s="7" t="s">
        <v>86</v>
      </c>
      <c r="B225" s="7" t="s">
        <v>15</v>
      </c>
      <c r="C225" s="142" t="s">
        <v>2318</v>
      </c>
      <c r="D225" s="142" t="s">
        <v>1878</v>
      </c>
      <c r="E225" s="139" t="s">
        <v>2319</v>
      </c>
    </row>
    <row r="226">
      <c r="A226" s="7" t="s">
        <v>86</v>
      </c>
      <c r="B226" s="7" t="s">
        <v>15</v>
      </c>
      <c r="C226" s="142" t="s">
        <v>2320</v>
      </c>
      <c r="D226" s="142" t="s">
        <v>1878</v>
      </c>
      <c r="E226" s="139" t="s">
        <v>2321</v>
      </c>
    </row>
    <row r="227">
      <c r="A227" s="7" t="s">
        <v>86</v>
      </c>
      <c r="B227" s="7" t="s">
        <v>15</v>
      </c>
      <c r="C227" s="142" t="s">
        <v>2322</v>
      </c>
      <c r="D227" s="142" t="s">
        <v>1905</v>
      </c>
      <c r="E227" s="139" t="s">
        <v>2323</v>
      </c>
    </row>
    <row r="228">
      <c r="A228" s="7" t="s">
        <v>86</v>
      </c>
      <c r="B228" s="7" t="s">
        <v>15</v>
      </c>
      <c r="C228" s="142" t="s">
        <v>1112</v>
      </c>
      <c r="D228" s="142" t="s">
        <v>1878</v>
      </c>
      <c r="E228" s="139" t="s">
        <v>2324</v>
      </c>
    </row>
    <row r="229">
      <c r="A229" s="7" t="s">
        <v>86</v>
      </c>
      <c r="B229" s="7" t="s">
        <v>15</v>
      </c>
      <c r="C229" s="142" t="s">
        <v>2325</v>
      </c>
      <c r="D229" s="142" t="s">
        <v>1905</v>
      </c>
      <c r="E229" s="139" t="s">
        <v>2326</v>
      </c>
    </row>
    <row r="230">
      <c r="A230" s="7" t="s">
        <v>88</v>
      </c>
      <c r="B230" s="7" t="s">
        <v>15</v>
      </c>
      <c r="C230" s="142" t="s">
        <v>2327</v>
      </c>
      <c r="D230" s="142" t="s">
        <v>1878</v>
      </c>
      <c r="E230" s="139" t="s">
        <v>2328</v>
      </c>
    </row>
    <row r="231">
      <c r="A231" s="7" t="s">
        <v>88</v>
      </c>
      <c r="B231" s="7" t="s">
        <v>15</v>
      </c>
      <c r="C231" s="142" t="s">
        <v>2329</v>
      </c>
      <c r="D231" s="142" t="s">
        <v>1878</v>
      </c>
      <c r="E231" s="139" t="s">
        <v>2330</v>
      </c>
    </row>
    <row r="232">
      <c r="A232" s="7" t="s">
        <v>88</v>
      </c>
      <c r="B232" s="7" t="s">
        <v>15</v>
      </c>
      <c r="C232" s="142" t="s">
        <v>2331</v>
      </c>
      <c r="D232" s="142" t="s">
        <v>1878</v>
      </c>
      <c r="E232" s="139" t="s">
        <v>2332</v>
      </c>
    </row>
    <row r="233">
      <c r="A233" s="7" t="s">
        <v>88</v>
      </c>
      <c r="B233" s="7" t="s">
        <v>15</v>
      </c>
      <c r="C233" s="142" t="s">
        <v>2333</v>
      </c>
      <c r="D233" s="142" t="s">
        <v>1872</v>
      </c>
      <c r="E233" s="139" t="s">
        <v>2334</v>
      </c>
    </row>
    <row r="234">
      <c r="A234" s="7" t="s">
        <v>88</v>
      </c>
      <c r="B234" s="7" t="s">
        <v>15</v>
      </c>
      <c r="C234" s="142" t="s">
        <v>2335</v>
      </c>
      <c r="D234" s="142" t="s">
        <v>1878</v>
      </c>
      <c r="E234" s="139" t="s">
        <v>2336</v>
      </c>
    </row>
    <row r="235">
      <c r="A235" s="7" t="s">
        <v>88</v>
      </c>
      <c r="B235" s="7" t="s">
        <v>15</v>
      </c>
      <c r="C235" s="142" t="s">
        <v>2337</v>
      </c>
      <c r="D235" s="142" t="s">
        <v>1916</v>
      </c>
      <c r="E235" s="139" t="s">
        <v>2338</v>
      </c>
    </row>
    <row r="236">
      <c r="A236" s="7" t="s">
        <v>88</v>
      </c>
      <c r="B236" s="7" t="s">
        <v>15</v>
      </c>
      <c r="C236" s="142" t="s">
        <v>2339</v>
      </c>
      <c r="D236" s="142" t="s">
        <v>1878</v>
      </c>
      <c r="E236" s="139" t="s">
        <v>2340</v>
      </c>
    </row>
    <row r="237">
      <c r="A237" s="7" t="s">
        <v>88</v>
      </c>
      <c r="B237" s="7" t="s">
        <v>15</v>
      </c>
      <c r="C237" s="142" t="s">
        <v>2341</v>
      </c>
      <c r="D237" s="142" t="s">
        <v>1878</v>
      </c>
      <c r="E237" s="139" t="s">
        <v>2342</v>
      </c>
    </row>
    <row r="238">
      <c r="A238" s="7" t="s">
        <v>88</v>
      </c>
      <c r="B238" s="7" t="s">
        <v>15</v>
      </c>
      <c r="C238" s="142" t="s">
        <v>2343</v>
      </c>
      <c r="D238" s="142" t="s">
        <v>1916</v>
      </c>
      <c r="E238" s="139" t="s">
        <v>2344</v>
      </c>
    </row>
    <row r="239">
      <c r="A239" s="7" t="s">
        <v>90</v>
      </c>
      <c r="B239" s="7" t="s">
        <v>15</v>
      </c>
      <c r="C239" s="142" t="s">
        <v>2345</v>
      </c>
      <c r="D239" s="142" t="s">
        <v>1878</v>
      </c>
      <c r="E239" s="139" t="s">
        <v>2346</v>
      </c>
    </row>
    <row r="240">
      <c r="A240" s="7" t="s">
        <v>90</v>
      </c>
      <c r="B240" s="7" t="s">
        <v>15</v>
      </c>
      <c r="C240" s="142" t="s">
        <v>2347</v>
      </c>
      <c r="D240" s="142" t="s">
        <v>1905</v>
      </c>
      <c r="E240" s="139" t="s">
        <v>2348</v>
      </c>
    </row>
    <row r="241">
      <c r="A241" s="7" t="s">
        <v>90</v>
      </c>
      <c r="B241" s="7" t="s">
        <v>15</v>
      </c>
      <c r="C241" s="142" t="s">
        <v>2349</v>
      </c>
      <c r="D241" s="142" t="s">
        <v>1875</v>
      </c>
      <c r="E241" s="139" t="s">
        <v>2350</v>
      </c>
    </row>
    <row r="242">
      <c r="A242" s="7" t="s">
        <v>90</v>
      </c>
      <c r="B242" s="7" t="s">
        <v>15</v>
      </c>
      <c r="C242" s="142" t="s">
        <v>2351</v>
      </c>
      <c r="D242" s="142" t="s">
        <v>1875</v>
      </c>
      <c r="E242" s="139" t="s">
        <v>2352</v>
      </c>
    </row>
    <row r="243">
      <c r="A243" s="7" t="s">
        <v>90</v>
      </c>
      <c r="B243" s="7" t="s">
        <v>15</v>
      </c>
      <c r="C243" s="142" t="s">
        <v>2353</v>
      </c>
      <c r="D243" s="142" t="s">
        <v>1872</v>
      </c>
      <c r="E243" s="139" t="s">
        <v>2354</v>
      </c>
    </row>
    <row r="244">
      <c r="A244" s="7" t="s">
        <v>90</v>
      </c>
      <c r="B244" s="7" t="s">
        <v>15</v>
      </c>
      <c r="C244" s="142" t="s">
        <v>2355</v>
      </c>
      <c r="D244" s="142" t="s">
        <v>1875</v>
      </c>
      <c r="E244" s="139" t="s">
        <v>2356</v>
      </c>
    </row>
    <row r="245">
      <c r="A245" s="7" t="s">
        <v>90</v>
      </c>
      <c r="B245" s="7" t="s">
        <v>15</v>
      </c>
      <c r="C245" s="142" t="s">
        <v>2357</v>
      </c>
      <c r="D245" s="142" t="s">
        <v>1947</v>
      </c>
      <c r="E245" s="139" t="s">
        <v>2358</v>
      </c>
    </row>
    <row r="246">
      <c r="A246" s="7" t="s">
        <v>92</v>
      </c>
      <c r="B246" s="7" t="s">
        <v>15</v>
      </c>
      <c r="C246" s="142" t="s">
        <v>2359</v>
      </c>
      <c r="D246" s="142" t="s">
        <v>1875</v>
      </c>
      <c r="E246" s="139" t="s">
        <v>2360</v>
      </c>
    </row>
    <row r="247">
      <c r="A247" s="7" t="s">
        <v>92</v>
      </c>
      <c r="B247" s="7" t="s">
        <v>15</v>
      </c>
      <c r="C247" s="142" t="s">
        <v>2361</v>
      </c>
      <c r="D247" s="142" t="s">
        <v>1872</v>
      </c>
      <c r="E247" s="139" t="s">
        <v>2362</v>
      </c>
    </row>
    <row r="248">
      <c r="A248" s="7" t="s">
        <v>92</v>
      </c>
      <c r="B248" s="7" t="s">
        <v>15</v>
      </c>
      <c r="C248" s="142" t="s">
        <v>2363</v>
      </c>
      <c r="D248" s="142" t="s">
        <v>1875</v>
      </c>
      <c r="E248" s="139" t="s">
        <v>2364</v>
      </c>
    </row>
    <row r="249">
      <c r="A249" s="7" t="s">
        <v>92</v>
      </c>
      <c r="B249" s="7" t="s">
        <v>15</v>
      </c>
      <c r="C249" s="142" t="s">
        <v>2365</v>
      </c>
      <c r="D249" s="142" t="s">
        <v>1875</v>
      </c>
      <c r="E249" s="139" t="s">
        <v>2366</v>
      </c>
    </row>
    <row r="250">
      <c r="A250" s="7" t="s">
        <v>92</v>
      </c>
      <c r="B250" s="7" t="s">
        <v>15</v>
      </c>
      <c r="C250" s="142" t="s">
        <v>2367</v>
      </c>
      <c r="D250" s="142" t="s">
        <v>1993</v>
      </c>
      <c r="E250" s="139" t="s">
        <v>2368</v>
      </c>
    </row>
    <row r="251">
      <c r="A251" s="7" t="s">
        <v>92</v>
      </c>
      <c r="B251" s="7" t="s">
        <v>15</v>
      </c>
      <c r="C251" s="142" t="s">
        <v>2369</v>
      </c>
      <c r="D251" s="142" t="s">
        <v>1993</v>
      </c>
      <c r="E251" s="139" t="s">
        <v>2370</v>
      </c>
    </row>
    <row r="252">
      <c r="A252" s="7" t="s">
        <v>92</v>
      </c>
      <c r="B252" s="7" t="s">
        <v>15</v>
      </c>
      <c r="C252" s="142" t="s">
        <v>2371</v>
      </c>
      <c r="D252" s="142" t="s">
        <v>1993</v>
      </c>
      <c r="E252" s="139" t="s">
        <v>2372</v>
      </c>
    </row>
    <row r="253">
      <c r="A253" s="7" t="s">
        <v>92</v>
      </c>
      <c r="B253" s="7" t="s">
        <v>15</v>
      </c>
      <c r="C253" s="142" t="s">
        <v>2373</v>
      </c>
      <c r="D253" s="142" t="s">
        <v>1993</v>
      </c>
      <c r="E253" s="139" t="s">
        <v>2374</v>
      </c>
    </row>
    <row r="254">
      <c r="A254" s="155" t="s">
        <v>1719</v>
      </c>
      <c r="B254" s="7" t="s">
        <v>15</v>
      </c>
      <c r="C254" s="142" t="s">
        <v>2375</v>
      </c>
      <c r="D254" s="142" t="s">
        <v>1878</v>
      </c>
      <c r="E254" s="139" t="s">
        <v>2376</v>
      </c>
    </row>
    <row r="255">
      <c r="A255" s="155" t="s">
        <v>1719</v>
      </c>
      <c r="B255" s="7" t="s">
        <v>15</v>
      </c>
      <c r="C255" s="142" t="s">
        <v>2377</v>
      </c>
      <c r="D255" s="142" t="s">
        <v>1878</v>
      </c>
      <c r="E255" s="139" t="s">
        <v>2378</v>
      </c>
    </row>
    <row r="256">
      <c r="A256" s="155" t="s">
        <v>1719</v>
      </c>
      <c r="B256" s="7" t="s">
        <v>15</v>
      </c>
      <c r="C256" s="142" t="s">
        <v>2379</v>
      </c>
      <c r="D256" s="142" t="s">
        <v>1872</v>
      </c>
      <c r="E256" s="139" t="s">
        <v>2380</v>
      </c>
    </row>
    <row r="257">
      <c r="A257" s="155" t="s">
        <v>1719</v>
      </c>
      <c r="B257" s="7" t="s">
        <v>15</v>
      </c>
      <c r="C257" s="142" t="s">
        <v>2381</v>
      </c>
      <c r="D257" s="142" t="s">
        <v>1905</v>
      </c>
      <c r="E257" s="139" t="s">
        <v>2382</v>
      </c>
    </row>
    <row r="258">
      <c r="A258" s="155" t="s">
        <v>1719</v>
      </c>
      <c r="B258" s="7" t="s">
        <v>15</v>
      </c>
      <c r="C258" s="142" t="s">
        <v>2383</v>
      </c>
      <c r="D258" s="142" t="s">
        <v>1878</v>
      </c>
      <c r="E258" s="139" t="s">
        <v>2384</v>
      </c>
    </row>
    <row r="259">
      <c r="A259" s="155" t="s">
        <v>1719</v>
      </c>
      <c r="B259" s="7" t="s">
        <v>15</v>
      </c>
      <c r="C259" s="142" t="s">
        <v>2385</v>
      </c>
      <c r="D259" s="142" t="s">
        <v>1878</v>
      </c>
      <c r="E259" s="139" t="s">
        <v>2386</v>
      </c>
    </row>
    <row r="260">
      <c r="A260" s="155" t="s">
        <v>1719</v>
      </c>
      <c r="B260" s="7" t="s">
        <v>15</v>
      </c>
      <c r="C260" s="142" t="s">
        <v>2387</v>
      </c>
      <c r="D260" s="142" t="s">
        <v>1878</v>
      </c>
      <c r="E260" s="139" t="s">
        <v>2388</v>
      </c>
    </row>
    <row r="261">
      <c r="A261" s="155" t="s">
        <v>1719</v>
      </c>
      <c r="B261" s="7" t="s">
        <v>15</v>
      </c>
      <c r="C261" s="142" t="s">
        <v>94</v>
      </c>
      <c r="D261" s="142" t="s">
        <v>1875</v>
      </c>
      <c r="E261" s="139" t="s">
        <v>2389</v>
      </c>
    </row>
    <row r="262">
      <c r="A262" s="155" t="s">
        <v>1719</v>
      </c>
      <c r="B262" s="7" t="s">
        <v>15</v>
      </c>
      <c r="C262" s="142" t="s">
        <v>2390</v>
      </c>
      <c r="D262" s="142" t="s">
        <v>1878</v>
      </c>
      <c r="E262" s="139" t="s">
        <v>2391</v>
      </c>
    </row>
    <row r="263">
      <c r="A263" s="155" t="s">
        <v>1719</v>
      </c>
      <c r="B263" s="7" t="s">
        <v>15</v>
      </c>
      <c r="C263" s="142" t="s">
        <v>2392</v>
      </c>
      <c r="D263" s="142" t="s">
        <v>1878</v>
      </c>
      <c r="E263" s="139" t="s">
        <v>2393</v>
      </c>
    </row>
    <row r="264">
      <c r="A264" s="155" t="s">
        <v>1719</v>
      </c>
      <c r="B264" s="7" t="s">
        <v>15</v>
      </c>
      <c r="C264" s="142" t="s">
        <v>2394</v>
      </c>
      <c r="D264" s="142" t="s">
        <v>1878</v>
      </c>
      <c r="E264" s="139" t="s">
        <v>2395</v>
      </c>
    </row>
    <row r="265">
      <c r="A265" s="155" t="s">
        <v>95</v>
      </c>
      <c r="B265" s="7" t="s">
        <v>15</v>
      </c>
      <c r="C265" s="142" t="s">
        <v>2396</v>
      </c>
      <c r="D265" s="142" t="s">
        <v>1875</v>
      </c>
      <c r="E265" s="139" t="s">
        <v>2397</v>
      </c>
    </row>
    <row r="266">
      <c r="A266" s="155" t="s">
        <v>95</v>
      </c>
      <c r="B266" s="7" t="s">
        <v>15</v>
      </c>
      <c r="C266" s="142" t="s">
        <v>2398</v>
      </c>
      <c r="D266" s="142" t="s">
        <v>1875</v>
      </c>
      <c r="E266" s="139" t="s">
        <v>2399</v>
      </c>
    </row>
    <row r="267">
      <c r="A267" s="155" t="s">
        <v>95</v>
      </c>
      <c r="B267" s="7" t="s">
        <v>15</v>
      </c>
      <c r="C267" s="142" t="s">
        <v>2400</v>
      </c>
      <c r="D267" s="142" t="s">
        <v>1993</v>
      </c>
      <c r="E267" s="139" t="s">
        <v>2401</v>
      </c>
    </row>
    <row r="268">
      <c r="A268" s="155" t="s">
        <v>95</v>
      </c>
      <c r="B268" s="7" t="s">
        <v>15</v>
      </c>
      <c r="C268" s="142" t="s">
        <v>2402</v>
      </c>
      <c r="D268" s="142" t="s">
        <v>1993</v>
      </c>
      <c r="E268" s="139" t="s">
        <v>2403</v>
      </c>
    </row>
    <row r="269">
      <c r="A269" s="155" t="s">
        <v>95</v>
      </c>
      <c r="B269" s="7" t="s">
        <v>15</v>
      </c>
      <c r="C269" s="142" t="s">
        <v>2404</v>
      </c>
      <c r="D269" s="142" t="s">
        <v>1993</v>
      </c>
      <c r="E269" s="139" t="s">
        <v>2405</v>
      </c>
    </row>
    <row r="270">
      <c r="A270" s="155" t="s">
        <v>95</v>
      </c>
      <c r="B270" s="7" t="s">
        <v>15</v>
      </c>
      <c r="C270" s="142" t="s">
        <v>2406</v>
      </c>
      <c r="D270" s="142" t="s">
        <v>1875</v>
      </c>
      <c r="E270" s="139" t="s">
        <v>2407</v>
      </c>
    </row>
    <row r="271">
      <c r="A271" s="155" t="s">
        <v>95</v>
      </c>
      <c r="B271" s="7" t="s">
        <v>15</v>
      </c>
      <c r="C271" s="142" t="s">
        <v>2408</v>
      </c>
      <c r="D271" s="142" t="s">
        <v>1990</v>
      </c>
      <c r="E271" s="139" t="s">
        <v>2409</v>
      </c>
    </row>
    <row r="272">
      <c r="A272" s="155" t="s">
        <v>95</v>
      </c>
      <c r="B272" s="7" t="s">
        <v>15</v>
      </c>
      <c r="C272" s="142" t="s">
        <v>2410</v>
      </c>
      <c r="D272" s="142" t="s">
        <v>1902</v>
      </c>
      <c r="E272" s="139" t="s">
        <v>2411</v>
      </c>
    </row>
    <row r="273">
      <c r="A273" s="155" t="s">
        <v>95</v>
      </c>
      <c r="B273" s="7" t="s">
        <v>15</v>
      </c>
      <c r="C273" s="142" t="s">
        <v>2412</v>
      </c>
      <c r="D273" s="142" t="s">
        <v>1902</v>
      </c>
      <c r="E273" s="139" t="s">
        <v>2413</v>
      </c>
    </row>
    <row r="274">
      <c r="A274" s="155" t="s">
        <v>95</v>
      </c>
      <c r="B274" s="7" t="s">
        <v>15</v>
      </c>
      <c r="C274" s="142" t="s">
        <v>2414</v>
      </c>
      <c r="D274" s="142" t="s">
        <v>1993</v>
      </c>
      <c r="E274" s="139" t="s">
        <v>2415</v>
      </c>
    </row>
    <row r="275">
      <c r="A275" s="7" t="s">
        <v>96</v>
      </c>
      <c r="B275" s="7" t="s">
        <v>15</v>
      </c>
      <c r="C275" s="142" t="s">
        <v>2416</v>
      </c>
      <c r="D275" s="142" t="s">
        <v>1875</v>
      </c>
      <c r="E275" s="139" t="s">
        <v>2417</v>
      </c>
    </row>
    <row r="276">
      <c r="A276" s="7" t="s">
        <v>96</v>
      </c>
      <c r="B276" s="7" t="s">
        <v>15</v>
      </c>
      <c r="C276" s="142" t="s">
        <v>2418</v>
      </c>
      <c r="D276" s="142" t="s">
        <v>1878</v>
      </c>
      <c r="E276" s="139" t="s">
        <v>2419</v>
      </c>
    </row>
    <row r="277">
      <c r="A277" s="7" t="s">
        <v>96</v>
      </c>
      <c r="B277" s="7" t="s">
        <v>15</v>
      </c>
      <c r="C277" s="142" t="s">
        <v>2420</v>
      </c>
      <c r="D277" s="142" t="s">
        <v>1878</v>
      </c>
      <c r="E277" s="139" t="s">
        <v>2421</v>
      </c>
    </row>
    <row r="278">
      <c r="A278" s="7" t="s">
        <v>96</v>
      </c>
      <c r="B278" s="7" t="s">
        <v>15</v>
      </c>
      <c r="C278" s="142" t="s">
        <v>2422</v>
      </c>
      <c r="D278" s="142" t="s">
        <v>1902</v>
      </c>
      <c r="E278" s="139" t="s">
        <v>2423</v>
      </c>
    </row>
    <row r="279">
      <c r="A279" s="7" t="s">
        <v>102</v>
      </c>
      <c r="B279" s="7" t="s">
        <v>15</v>
      </c>
      <c r="C279" s="142" t="s">
        <v>2424</v>
      </c>
      <c r="D279" s="142" t="s">
        <v>1872</v>
      </c>
      <c r="E279" s="139" t="s">
        <v>2425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7.38"/>
    <col customWidth="1" min="3" max="3" width="29.63"/>
  </cols>
  <sheetData>
    <row r="1">
      <c r="A1" s="156" t="s">
        <v>2426</v>
      </c>
      <c r="B1" s="157" t="s">
        <v>2427</v>
      </c>
      <c r="C1" s="156" t="s">
        <v>2428</v>
      </c>
      <c r="D1" s="5"/>
      <c r="E1" s="5"/>
      <c r="F1" s="5"/>
      <c r="G1" s="5"/>
      <c r="H1" s="5"/>
      <c r="I1" s="5"/>
      <c r="J1" s="5"/>
      <c r="K1" s="5"/>
      <c r="L1" s="5"/>
      <c r="M1" s="5"/>
      <c r="N1" s="5"/>
      <c r="O1" s="5"/>
      <c r="P1" s="5"/>
      <c r="Q1" s="5"/>
      <c r="R1" s="5"/>
      <c r="S1" s="5"/>
      <c r="T1" s="5"/>
      <c r="U1" s="5"/>
      <c r="V1" s="5"/>
      <c r="W1" s="5"/>
      <c r="X1" s="5"/>
      <c r="Y1" s="5"/>
      <c r="Z1" s="5"/>
      <c r="AA1" s="5"/>
    </row>
    <row r="2">
      <c r="A2" s="155" t="s">
        <v>13</v>
      </c>
      <c r="B2" s="142" t="s">
        <v>2429</v>
      </c>
      <c r="C2" s="139" t="s">
        <v>2430</v>
      </c>
    </row>
    <row r="3">
      <c r="A3" s="155" t="s">
        <v>13</v>
      </c>
      <c r="B3" s="142" t="s">
        <v>2431</v>
      </c>
      <c r="C3" s="142" t="s">
        <v>2432</v>
      </c>
    </row>
    <row r="4">
      <c r="A4" s="155" t="s">
        <v>13</v>
      </c>
      <c r="B4" s="142" t="s">
        <v>2433</v>
      </c>
      <c r="C4" s="142" t="s">
        <v>2434</v>
      </c>
    </row>
    <row r="5">
      <c r="A5" s="155" t="s">
        <v>13</v>
      </c>
      <c r="B5" s="142" t="s">
        <v>2435</v>
      </c>
      <c r="C5" s="139" t="s">
        <v>2436</v>
      </c>
    </row>
    <row r="6">
      <c r="A6" s="155" t="s">
        <v>13</v>
      </c>
      <c r="B6" s="139" t="s">
        <v>1892</v>
      </c>
      <c r="C6" s="139" t="s">
        <v>2437</v>
      </c>
    </row>
    <row r="7">
      <c r="A7" s="7" t="s">
        <v>13</v>
      </c>
      <c r="B7" s="139" t="s">
        <v>2438</v>
      </c>
      <c r="C7" s="139" t="s">
        <v>2439</v>
      </c>
    </row>
    <row r="8">
      <c r="A8" s="7" t="s">
        <v>20</v>
      </c>
      <c r="B8" s="7" t="s">
        <v>2440</v>
      </c>
      <c r="C8" s="7" t="s">
        <v>2441</v>
      </c>
    </row>
    <row r="9">
      <c r="A9" s="7" t="s">
        <v>20</v>
      </c>
      <c r="B9" s="7" t="s">
        <v>2442</v>
      </c>
      <c r="C9" s="7" t="s">
        <v>2443</v>
      </c>
    </row>
    <row r="10">
      <c r="A10" s="7" t="s">
        <v>20</v>
      </c>
      <c r="B10" s="7" t="s">
        <v>2444</v>
      </c>
      <c r="C10" s="7" t="s">
        <v>2445</v>
      </c>
    </row>
    <row r="11">
      <c r="A11" s="7" t="s">
        <v>20</v>
      </c>
      <c r="B11" s="7" t="s">
        <v>2446</v>
      </c>
      <c r="C11" s="7" t="s">
        <v>2447</v>
      </c>
    </row>
    <row r="12">
      <c r="A12" s="7" t="s">
        <v>22</v>
      </c>
      <c r="B12" s="139" t="s">
        <v>2448</v>
      </c>
      <c r="C12" s="139" t="s">
        <v>2449</v>
      </c>
    </row>
    <row r="13">
      <c r="A13" s="7" t="s">
        <v>22</v>
      </c>
      <c r="B13" s="139" t="s">
        <v>2450</v>
      </c>
      <c r="C13" s="139" t="s">
        <v>2451</v>
      </c>
    </row>
    <row r="14">
      <c r="A14" s="7" t="s">
        <v>25</v>
      </c>
      <c r="B14" s="139" t="s">
        <v>2452</v>
      </c>
      <c r="C14" s="139" t="s">
        <v>2453</v>
      </c>
    </row>
    <row r="15">
      <c r="A15" s="7" t="s">
        <v>25</v>
      </c>
      <c r="B15" s="139" t="s">
        <v>1892</v>
      </c>
      <c r="C15" s="139" t="s">
        <v>2454</v>
      </c>
    </row>
    <row r="16">
      <c r="A16" s="7" t="s">
        <v>25</v>
      </c>
      <c r="B16" s="139" t="s">
        <v>2455</v>
      </c>
      <c r="C16" s="155" t="s">
        <v>2456</v>
      </c>
    </row>
    <row r="17">
      <c r="A17" s="7" t="s">
        <v>25</v>
      </c>
      <c r="B17" s="139" t="s">
        <v>2457</v>
      </c>
      <c r="C17" s="139" t="s">
        <v>2458</v>
      </c>
    </row>
    <row r="18">
      <c r="A18" s="7" t="s">
        <v>28</v>
      </c>
      <c r="B18" s="139" t="s">
        <v>2459</v>
      </c>
      <c r="C18" s="155" t="s">
        <v>2460</v>
      </c>
    </row>
    <row r="19">
      <c r="A19" s="7" t="s">
        <v>28</v>
      </c>
      <c r="B19" s="139" t="s">
        <v>2461</v>
      </c>
      <c r="C19" s="139" t="s">
        <v>2462</v>
      </c>
    </row>
    <row r="20">
      <c r="A20" s="7" t="s">
        <v>28</v>
      </c>
      <c r="B20" s="139" t="s">
        <v>1920</v>
      </c>
      <c r="C20" s="139" t="s">
        <v>2463</v>
      </c>
    </row>
    <row r="21">
      <c r="A21" s="7" t="s">
        <v>28</v>
      </c>
      <c r="B21" s="139" t="s">
        <v>2464</v>
      </c>
      <c r="C21" s="139" t="s">
        <v>2465</v>
      </c>
    </row>
    <row r="22">
      <c r="A22" s="7" t="s">
        <v>28</v>
      </c>
      <c r="B22" s="139" t="s">
        <v>2466</v>
      </c>
      <c r="C22" s="139" t="s">
        <v>2467</v>
      </c>
    </row>
    <row r="23">
      <c r="A23" s="7" t="s">
        <v>28</v>
      </c>
      <c r="B23" s="139" t="s">
        <v>2468</v>
      </c>
      <c r="C23" s="139" t="s">
        <v>2469</v>
      </c>
    </row>
    <row r="24">
      <c r="A24" s="7" t="s">
        <v>28</v>
      </c>
      <c r="B24" s="139" t="s">
        <v>2470</v>
      </c>
      <c r="C24" s="139" t="s">
        <v>2471</v>
      </c>
    </row>
    <row r="25">
      <c r="A25" s="7" t="s">
        <v>31</v>
      </c>
      <c r="B25" s="139" t="s">
        <v>2472</v>
      </c>
      <c r="C25" s="139" t="s">
        <v>2473</v>
      </c>
    </row>
    <row r="26">
      <c r="A26" s="7" t="s">
        <v>31</v>
      </c>
      <c r="B26" s="139" t="s">
        <v>2474</v>
      </c>
      <c r="C26" s="139" t="s">
        <v>2475</v>
      </c>
    </row>
    <row r="27">
      <c r="A27" s="139" t="s">
        <v>35</v>
      </c>
      <c r="B27" s="139" t="s">
        <v>35</v>
      </c>
      <c r="C27" s="139" t="s">
        <v>2476</v>
      </c>
    </row>
    <row r="28">
      <c r="A28" s="139" t="s">
        <v>35</v>
      </c>
      <c r="B28" s="139" t="s">
        <v>2477</v>
      </c>
      <c r="C28" s="139" t="s">
        <v>2478</v>
      </c>
    </row>
    <row r="29">
      <c r="A29" s="139" t="s">
        <v>35</v>
      </c>
      <c r="B29" s="139" t="s">
        <v>2479</v>
      </c>
      <c r="C29" s="139" t="s">
        <v>2480</v>
      </c>
    </row>
    <row r="30">
      <c r="A30" s="139" t="s">
        <v>35</v>
      </c>
      <c r="B30" s="139" t="s">
        <v>2481</v>
      </c>
      <c r="C30" s="139" t="s">
        <v>2482</v>
      </c>
    </row>
    <row r="31">
      <c r="A31" s="139" t="s">
        <v>35</v>
      </c>
      <c r="B31" s="139" t="s">
        <v>2483</v>
      </c>
      <c r="C31" s="139" t="s">
        <v>2484</v>
      </c>
    </row>
    <row r="32">
      <c r="A32" s="139" t="s">
        <v>35</v>
      </c>
      <c r="B32" s="139" t="s">
        <v>2485</v>
      </c>
      <c r="C32" s="139" t="s">
        <v>2486</v>
      </c>
    </row>
    <row r="33">
      <c r="A33" s="139" t="s">
        <v>35</v>
      </c>
      <c r="B33" s="139" t="s">
        <v>2487</v>
      </c>
      <c r="C33" s="139" t="s">
        <v>2488</v>
      </c>
    </row>
    <row r="34">
      <c r="A34" s="7" t="s">
        <v>37</v>
      </c>
      <c r="B34" s="139" t="s">
        <v>2489</v>
      </c>
      <c r="C34" s="139" t="s">
        <v>2490</v>
      </c>
    </row>
    <row r="35">
      <c r="A35" s="7" t="s">
        <v>37</v>
      </c>
      <c r="B35" s="139" t="s">
        <v>2491</v>
      </c>
      <c r="C35" s="139" t="s">
        <v>2492</v>
      </c>
    </row>
    <row r="36">
      <c r="A36" s="7" t="s">
        <v>37</v>
      </c>
      <c r="B36" s="139" t="s">
        <v>2493</v>
      </c>
      <c r="C36" s="139" t="s">
        <v>2494</v>
      </c>
    </row>
    <row r="37">
      <c r="A37" s="7" t="s">
        <v>37</v>
      </c>
      <c r="B37" s="139" t="s">
        <v>2495</v>
      </c>
      <c r="C37" s="139" t="s">
        <v>2496</v>
      </c>
    </row>
    <row r="38">
      <c r="A38" s="7" t="s">
        <v>37</v>
      </c>
      <c r="B38" s="139" t="s">
        <v>2497</v>
      </c>
      <c r="C38" s="139" t="s">
        <v>2498</v>
      </c>
    </row>
    <row r="39">
      <c r="A39" s="7" t="s">
        <v>37</v>
      </c>
      <c r="B39" s="139" t="s">
        <v>2499</v>
      </c>
      <c r="C39" s="139" t="s">
        <v>2500</v>
      </c>
    </row>
    <row r="40">
      <c r="A40" s="7" t="s">
        <v>37</v>
      </c>
      <c r="B40" s="139" t="s">
        <v>2501</v>
      </c>
      <c r="C40" s="139" t="s">
        <v>2502</v>
      </c>
    </row>
    <row r="41">
      <c r="A41" s="7" t="s">
        <v>39</v>
      </c>
      <c r="B41" s="139" t="s">
        <v>2503</v>
      </c>
      <c r="C41" s="139" t="s">
        <v>2504</v>
      </c>
    </row>
    <row r="42">
      <c r="A42" s="7" t="s">
        <v>41</v>
      </c>
      <c r="B42" s="139" t="s">
        <v>2505</v>
      </c>
      <c r="C42" s="139" t="s">
        <v>2506</v>
      </c>
    </row>
    <row r="43">
      <c r="A43" s="7" t="s">
        <v>41</v>
      </c>
      <c r="B43" s="139" t="s">
        <v>2507</v>
      </c>
      <c r="C43" s="139" t="s">
        <v>2508</v>
      </c>
    </row>
    <row r="44">
      <c r="A44" s="7" t="s">
        <v>41</v>
      </c>
      <c r="B44" s="139" t="s">
        <v>2509</v>
      </c>
      <c r="C44" s="139" t="s">
        <v>2510</v>
      </c>
    </row>
    <row r="45">
      <c r="A45" s="7" t="s">
        <v>43</v>
      </c>
      <c r="B45" s="139" t="s">
        <v>2511</v>
      </c>
      <c r="C45" s="139" t="s">
        <v>2512</v>
      </c>
    </row>
    <row r="46">
      <c r="A46" s="7" t="s">
        <v>43</v>
      </c>
      <c r="B46" s="139" t="s">
        <v>2513</v>
      </c>
      <c r="C46" s="139" t="s">
        <v>2514</v>
      </c>
    </row>
    <row r="47">
      <c r="A47" s="7" t="s">
        <v>43</v>
      </c>
      <c r="B47" s="139" t="s">
        <v>2515</v>
      </c>
      <c r="C47" s="139" t="s">
        <v>2516</v>
      </c>
    </row>
    <row r="48">
      <c r="A48" s="7" t="s">
        <v>43</v>
      </c>
      <c r="B48" s="139" t="s">
        <v>2517</v>
      </c>
      <c r="C48" s="139" t="s">
        <v>2518</v>
      </c>
    </row>
    <row r="49">
      <c r="A49" s="7" t="s">
        <v>46</v>
      </c>
      <c r="B49" s="139" t="s">
        <v>2519</v>
      </c>
      <c r="C49" s="139" t="s">
        <v>2520</v>
      </c>
    </row>
    <row r="50">
      <c r="A50" s="7" t="s">
        <v>46</v>
      </c>
      <c r="B50" s="139" t="s">
        <v>2521</v>
      </c>
      <c r="C50" s="139" t="s">
        <v>2522</v>
      </c>
    </row>
    <row r="51">
      <c r="A51" s="7" t="s">
        <v>46</v>
      </c>
      <c r="B51" s="139" t="s">
        <v>2523</v>
      </c>
      <c r="C51" s="139" t="s">
        <v>2524</v>
      </c>
    </row>
    <row r="52">
      <c r="A52" s="7" t="s">
        <v>46</v>
      </c>
      <c r="B52" s="139" t="s">
        <v>2525</v>
      </c>
      <c r="C52" s="139" t="s">
        <v>2522</v>
      </c>
    </row>
    <row r="53">
      <c r="A53" s="7" t="s">
        <v>48</v>
      </c>
      <c r="B53" s="139" t="s">
        <v>2526</v>
      </c>
      <c r="C53" s="139" t="s">
        <v>2527</v>
      </c>
    </row>
    <row r="54">
      <c r="A54" s="7" t="s">
        <v>48</v>
      </c>
      <c r="B54" s="139" t="s">
        <v>2528</v>
      </c>
      <c r="C54" s="139" t="s">
        <v>2529</v>
      </c>
    </row>
    <row r="55">
      <c r="A55" s="7" t="s">
        <v>53</v>
      </c>
      <c r="B55" s="139" t="s">
        <v>2530</v>
      </c>
      <c r="C55" s="139" t="s">
        <v>2531</v>
      </c>
    </row>
    <row r="56">
      <c r="A56" s="7" t="s">
        <v>53</v>
      </c>
      <c r="B56" s="139" t="s">
        <v>2532</v>
      </c>
      <c r="C56" s="139" t="s">
        <v>2533</v>
      </c>
    </row>
    <row r="57">
      <c r="A57" s="7" t="s">
        <v>53</v>
      </c>
      <c r="B57" s="139" t="s">
        <v>2534</v>
      </c>
      <c r="C57" s="139" t="s">
        <v>2531</v>
      </c>
    </row>
    <row r="58">
      <c r="A58" s="7" t="s">
        <v>53</v>
      </c>
      <c r="B58" s="139" t="s">
        <v>2535</v>
      </c>
      <c r="C58" s="139" t="s">
        <v>2536</v>
      </c>
    </row>
    <row r="59">
      <c r="A59" s="7" t="s">
        <v>55</v>
      </c>
      <c r="B59" s="139" t="s">
        <v>2537</v>
      </c>
      <c r="C59" s="139" t="s">
        <v>2538</v>
      </c>
    </row>
    <row r="60">
      <c r="A60" s="7" t="s">
        <v>55</v>
      </c>
      <c r="B60" s="139" t="s">
        <v>2539</v>
      </c>
      <c r="C60" s="139" t="s">
        <v>2540</v>
      </c>
    </row>
    <row r="61">
      <c r="A61" s="7" t="s">
        <v>58</v>
      </c>
      <c r="B61" s="139" t="s">
        <v>2541</v>
      </c>
      <c r="C61" s="139" t="s">
        <v>2542</v>
      </c>
    </row>
    <row r="62">
      <c r="A62" s="7" t="s">
        <v>58</v>
      </c>
      <c r="B62" s="139" t="s">
        <v>2543</v>
      </c>
      <c r="C62" s="139" t="s">
        <v>2544</v>
      </c>
    </row>
    <row r="63">
      <c r="A63" s="139" t="s">
        <v>60</v>
      </c>
      <c r="B63" s="139" t="s">
        <v>60</v>
      </c>
      <c r="C63" s="139" t="s">
        <v>2545</v>
      </c>
    </row>
    <row r="64">
      <c r="A64" s="139" t="s">
        <v>60</v>
      </c>
      <c r="B64" s="139" t="s">
        <v>2546</v>
      </c>
      <c r="C64" s="139" t="s">
        <v>2547</v>
      </c>
    </row>
    <row r="65">
      <c r="A65" s="139" t="s">
        <v>60</v>
      </c>
      <c r="B65" s="139" t="s">
        <v>2548</v>
      </c>
      <c r="C65" s="139" t="s">
        <v>2549</v>
      </c>
    </row>
    <row r="66">
      <c r="A66" s="7" t="s">
        <v>62</v>
      </c>
      <c r="B66" s="139" t="s">
        <v>2550</v>
      </c>
      <c r="C66" s="139" t="s">
        <v>2551</v>
      </c>
    </row>
    <row r="67">
      <c r="A67" s="7" t="s">
        <v>64</v>
      </c>
      <c r="B67" s="139" t="s">
        <v>2552</v>
      </c>
      <c r="C67" s="139" t="s">
        <v>2553</v>
      </c>
    </row>
    <row r="68">
      <c r="A68" s="7" t="s">
        <v>64</v>
      </c>
      <c r="B68" s="139" t="s">
        <v>2554</v>
      </c>
      <c r="C68" s="139" t="s">
        <v>2555</v>
      </c>
    </row>
    <row r="69">
      <c r="A69" s="7" t="s">
        <v>64</v>
      </c>
      <c r="B69" s="139" t="s">
        <v>2556</v>
      </c>
      <c r="C69" s="139" t="s">
        <v>2557</v>
      </c>
    </row>
    <row r="70">
      <c r="A70" s="7" t="s">
        <v>64</v>
      </c>
      <c r="B70" s="139" t="s">
        <v>2558</v>
      </c>
      <c r="C70" s="139" t="s">
        <v>2559</v>
      </c>
    </row>
    <row r="71">
      <c r="A71" s="7" t="s">
        <v>66</v>
      </c>
      <c r="B71" s="139" t="s">
        <v>2186</v>
      </c>
      <c r="C71" s="139" t="s">
        <v>2560</v>
      </c>
    </row>
    <row r="72">
      <c r="A72" s="7" t="s">
        <v>66</v>
      </c>
      <c r="B72" s="139" t="s">
        <v>2561</v>
      </c>
      <c r="C72" s="139" t="s">
        <v>2562</v>
      </c>
    </row>
    <row r="73">
      <c r="A73" s="7" t="s">
        <v>66</v>
      </c>
      <c r="B73" s="139" t="s">
        <v>2563</v>
      </c>
      <c r="C73" s="139" t="s">
        <v>2564</v>
      </c>
    </row>
    <row r="74">
      <c r="A74" s="7" t="s">
        <v>68</v>
      </c>
      <c r="B74" s="139" t="s">
        <v>2565</v>
      </c>
      <c r="C74" s="139" t="s">
        <v>2566</v>
      </c>
    </row>
    <row r="75">
      <c r="A75" s="7" t="s">
        <v>68</v>
      </c>
      <c r="B75" s="139" t="s">
        <v>2567</v>
      </c>
      <c r="C75" s="139" t="s">
        <v>2568</v>
      </c>
    </row>
    <row r="76">
      <c r="A76" s="7" t="s">
        <v>68</v>
      </c>
      <c r="B76" s="139" t="s">
        <v>2569</v>
      </c>
      <c r="C76" s="139" t="s">
        <v>2570</v>
      </c>
    </row>
    <row r="77">
      <c r="A77" s="139" t="s">
        <v>70</v>
      </c>
      <c r="B77" s="139" t="s">
        <v>70</v>
      </c>
      <c r="C77" s="139" t="s">
        <v>2571</v>
      </c>
    </row>
    <row r="78">
      <c r="A78" s="139" t="s">
        <v>70</v>
      </c>
      <c r="B78" s="139" t="s">
        <v>2572</v>
      </c>
      <c r="C78" s="139" t="s">
        <v>2573</v>
      </c>
    </row>
    <row r="79">
      <c r="A79" s="139" t="s">
        <v>70</v>
      </c>
      <c r="B79" s="139" t="s">
        <v>2574</v>
      </c>
      <c r="C79" s="139" t="s">
        <v>2575</v>
      </c>
    </row>
    <row r="80">
      <c r="A80" s="139" t="s">
        <v>70</v>
      </c>
      <c r="B80" s="139" t="s">
        <v>2576</v>
      </c>
      <c r="C80" s="139" t="s">
        <v>2577</v>
      </c>
    </row>
    <row r="81">
      <c r="A81" s="139" t="s">
        <v>70</v>
      </c>
      <c r="B81" s="139" t="s">
        <v>2578</v>
      </c>
      <c r="C81" s="139" t="s">
        <v>2579</v>
      </c>
    </row>
    <row r="82">
      <c r="A82" s="139" t="s">
        <v>70</v>
      </c>
      <c r="B82" s="139" t="s">
        <v>2580</v>
      </c>
      <c r="C82" s="139" t="s">
        <v>2581</v>
      </c>
    </row>
    <row r="83">
      <c r="A83" s="7" t="s">
        <v>72</v>
      </c>
      <c r="B83" s="139" t="s">
        <v>2582</v>
      </c>
      <c r="C83" s="139" t="s">
        <v>2583</v>
      </c>
    </row>
    <row r="84">
      <c r="A84" s="7" t="s">
        <v>72</v>
      </c>
      <c r="B84" s="139" t="s">
        <v>2584</v>
      </c>
      <c r="C84" s="139" t="s">
        <v>2585</v>
      </c>
    </row>
    <row r="85">
      <c r="A85" s="7" t="s">
        <v>72</v>
      </c>
      <c r="B85" s="139" t="s">
        <v>2586</v>
      </c>
      <c r="C85" s="139" t="s">
        <v>2587</v>
      </c>
    </row>
    <row r="86">
      <c r="A86" s="7" t="s">
        <v>72</v>
      </c>
      <c r="B86" s="139" t="s">
        <v>2588</v>
      </c>
      <c r="C86" s="139" t="s">
        <v>2589</v>
      </c>
    </row>
    <row r="87">
      <c r="A87" s="7" t="s">
        <v>77</v>
      </c>
      <c r="B87" s="139" t="s">
        <v>2590</v>
      </c>
      <c r="C87" s="139" t="s">
        <v>2591</v>
      </c>
    </row>
    <row r="88">
      <c r="A88" s="7" t="s">
        <v>77</v>
      </c>
      <c r="B88" s="139" t="s">
        <v>2592</v>
      </c>
      <c r="C88" s="139" t="s">
        <v>2593</v>
      </c>
    </row>
    <row r="89">
      <c r="A89" s="7" t="s">
        <v>79</v>
      </c>
      <c r="B89" s="139" t="s">
        <v>2594</v>
      </c>
      <c r="C89" s="139" t="s">
        <v>2595</v>
      </c>
    </row>
    <row r="90">
      <c r="A90" s="7" t="s">
        <v>79</v>
      </c>
      <c r="B90" s="139" t="s">
        <v>2596</v>
      </c>
      <c r="C90" s="139" t="s">
        <v>2597</v>
      </c>
    </row>
    <row r="91">
      <c r="A91" s="7" t="s">
        <v>79</v>
      </c>
      <c r="B91" s="139" t="s">
        <v>2598</v>
      </c>
      <c r="C91" s="139" t="s">
        <v>2599</v>
      </c>
    </row>
    <row r="92">
      <c r="A92" s="7" t="s">
        <v>79</v>
      </c>
      <c r="B92" s="139" t="s">
        <v>79</v>
      </c>
      <c r="C92" s="139" t="s">
        <v>2600</v>
      </c>
    </row>
    <row r="93">
      <c r="A93" s="7" t="s">
        <v>79</v>
      </c>
      <c r="B93" s="139" t="s">
        <v>2601</v>
      </c>
      <c r="C93" s="139" t="s">
        <v>2602</v>
      </c>
    </row>
    <row r="94">
      <c r="A94" s="7" t="s">
        <v>81</v>
      </c>
      <c r="B94" s="139" t="s">
        <v>2603</v>
      </c>
      <c r="C94" s="139" t="s">
        <v>2604</v>
      </c>
    </row>
    <row r="95">
      <c r="A95" s="7" t="s">
        <v>81</v>
      </c>
      <c r="B95" s="139" t="s">
        <v>2605</v>
      </c>
      <c r="C95" s="139" t="s">
        <v>2606</v>
      </c>
    </row>
    <row r="96">
      <c r="A96" s="7" t="s">
        <v>83</v>
      </c>
      <c r="B96" s="139" t="s">
        <v>2607</v>
      </c>
      <c r="C96" s="139" t="s">
        <v>2608</v>
      </c>
    </row>
    <row r="97">
      <c r="A97" s="7" t="s">
        <v>83</v>
      </c>
      <c r="B97" s="139" t="s">
        <v>2609</v>
      </c>
      <c r="C97" s="139" t="s">
        <v>2610</v>
      </c>
    </row>
    <row r="98">
      <c r="A98" s="7" t="s">
        <v>83</v>
      </c>
      <c r="B98" s="139" t="s">
        <v>2611</v>
      </c>
      <c r="C98" s="139" t="s">
        <v>2612</v>
      </c>
    </row>
    <row r="99">
      <c r="A99" s="7" t="s">
        <v>83</v>
      </c>
      <c r="B99" s="139" t="s">
        <v>2613</v>
      </c>
      <c r="C99" s="139" t="s">
        <v>2614</v>
      </c>
    </row>
    <row r="100">
      <c r="A100" s="7" t="s">
        <v>83</v>
      </c>
      <c r="B100" s="139" t="s">
        <v>2615</v>
      </c>
      <c r="C100" s="139" t="s">
        <v>2616</v>
      </c>
    </row>
    <row r="101">
      <c r="A101" s="7" t="s">
        <v>83</v>
      </c>
      <c r="B101" s="139" t="s">
        <v>2617</v>
      </c>
      <c r="C101" s="139" t="s">
        <v>2618</v>
      </c>
    </row>
    <row r="102">
      <c r="A102" s="7" t="s">
        <v>88</v>
      </c>
      <c r="B102" s="139" t="s">
        <v>2619</v>
      </c>
      <c r="C102" s="139" t="s">
        <v>2620</v>
      </c>
    </row>
    <row r="103">
      <c r="A103" s="7" t="s">
        <v>90</v>
      </c>
      <c r="B103" s="139" t="s">
        <v>2621</v>
      </c>
      <c r="C103" s="139" t="s">
        <v>2622</v>
      </c>
    </row>
    <row r="104">
      <c r="A104" s="7" t="s">
        <v>90</v>
      </c>
      <c r="B104" s="139" t="s">
        <v>2623</v>
      </c>
      <c r="C104" s="139" t="s">
        <v>2624</v>
      </c>
    </row>
    <row r="105">
      <c r="A105" s="7" t="s">
        <v>90</v>
      </c>
      <c r="B105" s="139" t="s">
        <v>2625</v>
      </c>
      <c r="C105" s="139" t="s">
        <v>2626</v>
      </c>
    </row>
    <row r="106">
      <c r="A106" s="7" t="s">
        <v>90</v>
      </c>
      <c r="B106" s="139" t="s">
        <v>2627</v>
      </c>
      <c r="C106" s="139" t="s">
        <v>2628</v>
      </c>
    </row>
    <row r="107">
      <c r="A107" s="7" t="s">
        <v>90</v>
      </c>
      <c r="B107" s="139" t="s">
        <v>2629</v>
      </c>
      <c r="C107" s="139" t="s">
        <v>2630</v>
      </c>
    </row>
    <row r="108">
      <c r="A108" s="7" t="s">
        <v>92</v>
      </c>
      <c r="B108" s="139" t="s">
        <v>2631</v>
      </c>
      <c r="C108" s="139" t="s">
        <v>2632</v>
      </c>
    </row>
    <row r="109">
      <c r="A109" s="7" t="s">
        <v>92</v>
      </c>
      <c r="B109" s="139" t="s">
        <v>2633</v>
      </c>
      <c r="C109" s="139" t="s">
        <v>2634</v>
      </c>
    </row>
    <row r="110">
      <c r="A110" s="155" t="s">
        <v>1719</v>
      </c>
      <c r="B110" s="139" t="s">
        <v>2635</v>
      </c>
      <c r="C110" s="139" t="s">
        <v>2636</v>
      </c>
    </row>
    <row r="111">
      <c r="A111" s="155" t="s">
        <v>1719</v>
      </c>
      <c r="B111" s="139" t="s">
        <v>2637</v>
      </c>
      <c r="C111" s="139" t="s">
        <v>2638</v>
      </c>
    </row>
    <row r="112">
      <c r="A112" s="155" t="s">
        <v>1719</v>
      </c>
      <c r="B112" s="139" t="s">
        <v>2639</v>
      </c>
      <c r="C112" s="139" t="s">
        <v>2640</v>
      </c>
    </row>
    <row r="113">
      <c r="A113" s="7" t="s">
        <v>95</v>
      </c>
      <c r="B113" s="139" t="s">
        <v>2641</v>
      </c>
      <c r="C113" s="139" t="s">
        <v>2642</v>
      </c>
    </row>
    <row r="114">
      <c r="A114" s="7" t="s">
        <v>96</v>
      </c>
      <c r="B114" s="139" t="s">
        <v>2643</v>
      </c>
      <c r="C114" s="139" t="s">
        <v>2644</v>
      </c>
    </row>
    <row r="115">
      <c r="A115" s="7" t="s">
        <v>96</v>
      </c>
      <c r="B115" s="139" t="s">
        <v>2645</v>
      </c>
      <c r="C115" s="139" t="s">
        <v>2646</v>
      </c>
    </row>
    <row r="116">
      <c r="A116" s="155" t="s">
        <v>97</v>
      </c>
      <c r="B116" s="139" t="s">
        <v>97</v>
      </c>
      <c r="C116" s="139" t="s">
        <v>2647</v>
      </c>
    </row>
    <row r="117">
      <c r="A117" s="155" t="s">
        <v>97</v>
      </c>
      <c r="B117" s="139" t="s">
        <v>2648</v>
      </c>
      <c r="C117" s="139" t="s">
        <v>2649</v>
      </c>
    </row>
    <row r="118">
      <c r="A118" s="7" t="s">
        <v>100</v>
      </c>
      <c r="B118" s="139" t="s">
        <v>2650</v>
      </c>
      <c r="C118" s="139" t="s">
        <v>2651</v>
      </c>
    </row>
    <row r="119">
      <c r="A119" s="7" t="s">
        <v>102</v>
      </c>
      <c r="B119" s="139" t="s">
        <v>2652</v>
      </c>
      <c r="C119" s="139" t="s">
        <v>2653</v>
      </c>
    </row>
    <row r="120">
      <c r="A120" s="7" t="s">
        <v>102</v>
      </c>
      <c r="B120" s="139" t="s">
        <v>2654</v>
      </c>
      <c r="C120" s="139" t="s">
        <v>2655</v>
      </c>
    </row>
    <row r="121">
      <c r="A121" s="7"/>
      <c r="B121" s="155"/>
      <c r="C121" s="155"/>
    </row>
    <row r="122">
      <c r="A122" s="7" t="s">
        <v>169</v>
      </c>
      <c r="B122" s="155" t="s">
        <v>169</v>
      </c>
      <c r="C122" s="155" t="s">
        <v>2656</v>
      </c>
    </row>
    <row r="123">
      <c r="A123" s="7" t="s">
        <v>196</v>
      </c>
      <c r="B123" s="155" t="s">
        <v>2657</v>
      </c>
      <c r="C123" s="155" t="s">
        <v>2658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3.63"/>
  </cols>
  <sheetData>
    <row r="1">
      <c r="A1" s="1" t="s">
        <v>0</v>
      </c>
      <c r="B1" s="159" t="s">
        <v>5</v>
      </c>
      <c r="C1" s="159" t="s">
        <v>571</v>
      </c>
      <c r="D1" s="5"/>
      <c r="E1" s="5"/>
      <c r="F1" s="5"/>
      <c r="G1" s="5"/>
      <c r="H1" s="5"/>
      <c r="I1" s="5"/>
      <c r="J1" s="5"/>
      <c r="K1" s="5"/>
      <c r="L1" s="5"/>
      <c r="M1" s="5"/>
      <c r="N1" s="5"/>
      <c r="O1" s="5"/>
      <c r="P1" s="5"/>
      <c r="Q1" s="5"/>
      <c r="R1" s="5"/>
      <c r="S1" s="5"/>
      <c r="T1" s="5"/>
      <c r="U1" s="5"/>
      <c r="V1" s="5"/>
      <c r="W1" s="5"/>
      <c r="X1" s="5"/>
      <c r="Y1" s="5"/>
      <c r="Z1" s="5"/>
    </row>
    <row r="2">
      <c r="A2" s="7" t="s">
        <v>13</v>
      </c>
      <c r="B2" s="139" t="s">
        <v>2659</v>
      </c>
      <c r="C2" s="139" t="s">
        <v>2660</v>
      </c>
    </row>
    <row r="3">
      <c r="A3" s="7" t="s">
        <v>22</v>
      </c>
      <c r="B3" s="139" t="s">
        <v>2661</v>
      </c>
      <c r="C3" s="139" t="s">
        <v>2662</v>
      </c>
    </row>
    <row r="4">
      <c r="A4" s="7" t="s">
        <v>22</v>
      </c>
      <c r="B4" s="139" t="s">
        <v>2663</v>
      </c>
      <c r="C4" s="139" t="s">
        <v>2664</v>
      </c>
    </row>
    <row r="5">
      <c r="A5" s="7" t="s">
        <v>25</v>
      </c>
      <c r="B5" s="139" t="s">
        <v>2665</v>
      </c>
      <c r="C5" s="139" t="s">
        <v>2666</v>
      </c>
    </row>
    <row r="6">
      <c r="A6" s="7" t="s">
        <v>28</v>
      </c>
      <c r="B6" s="139" t="s">
        <v>2667</v>
      </c>
      <c r="C6" s="139" t="s">
        <v>2668</v>
      </c>
    </row>
    <row r="7">
      <c r="A7" s="7" t="s">
        <v>28</v>
      </c>
      <c r="B7" s="139" t="s">
        <v>2669</v>
      </c>
      <c r="C7" s="139" t="s">
        <v>2670</v>
      </c>
    </row>
    <row r="8">
      <c r="A8" s="7" t="s">
        <v>28</v>
      </c>
      <c r="B8" s="139" t="s">
        <v>2671</v>
      </c>
      <c r="C8" s="139" t="s">
        <v>2672</v>
      </c>
    </row>
    <row r="9">
      <c r="A9" s="7" t="s">
        <v>31</v>
      </c>
      <c r="B9" s="139" t="s">
        <v>2673</v>
      </c>
      <c r="C9" s="139" t="s">
        <v>2674</v>
      </c>
    </row>
    <row r="10">
      <c r="A10" s="7" t="s">
        <v>35</v>
      </c>
      <c r="B10" s="139" t="s">
        <v>2675</v>
      </c>
      <c r="C10" s="139" t="s">
        <v>2676</v>
      </c>
    </row>
    <row r="11">
      <c r="A11" s="7" t="s">
        <v>35</v>
      </c>
      <c r="B11" s="139" t="s">
        <v>2677</v>
      </c>
      <c r="C11" s="139" t="s">
        <v>2678</v>
      </c>
    </row>
    <row r="12">
      <c r="A12" s="7" t="s">
        <v>35</v>
      </c>
      <c r="B12" s="139" t="s">
        <v>2679</v>
      </c>
      <c r="C12" s="139" t="s">
        <v>2680</v>
      </c>
    </row>
    <row r="13">
      <c r="A13" s="7" t="s">
        <v>35</v>
      </c>
      <c r="B13" s="139" t="s">
        <v>2681</v>
      </c>
      <c r="C13" s="139" t="s">
        <v>2682</v>
      </c>
    </row>
    <row r="14">
      <c r="A14" s="7" t="s">
        <v>35</v>
      </c>
      <c r="B14" s="139" t="s">
        <v>2683</v>
      </c>
      <c r="C14" s="139" t="s">
        <v>2684</v>
      </c>
    </row>
    <row r="15">
      <c r="A15" s="7" t="s">
        <v>37</v>
      </c>
      <c r="B15" s="139" t="s">
        <v>2685</v>
      </c>
      <c r="C15" s="139" t="s">
        <v>2686</v>
      </c>
    </row>
    <row r="16">
      <c r="A16" s="7" t="s">
        <v>37</v>
      </c>
      <c r="B16" s="139" t="s">
        <v>2687</v>
      </c>
      <c r="C16" s="139" t="s">
        <v>2688</v>
      </c>
    </row>
    <row r="17">
      <c r="A17" s="7" t="s">
        <v>37</v>
      </c>
      <c r="B17" s="139" t="s">
        <v>2689</v>
      </c>
      <c r="C17" s="139" t="s">
        <v>2690</v>
      </c>
    </row>
    <row r="18">
      <c r="A18" s="7" t="s">
        <v>37</v>
      </c>
      <c r="B18" s="139" t="s">
        <v>2691</v>
      </c>
      <c r="C18" s="139" t="s">
        <v>2692</v>
      </c>
    </row>
    <row r="19">
      <c r="A19" s="7" t="s">
        <v>39</v>
      </c>
      <c r="B19" s="155" t="s">
        <v>2693</v>
      </c>
      <c r="C19" s="155" t="s">
        <v>2694</v>
      </c>
    </row>
    <row r="20">
      <c r="A20" s="7" t="s">
        <v>41</v>
      </c>
      <c r="B20" s="139" t="s">
        <v>2695</v>
      </c>
      <c r="C20" s="139" t="s">
        <v>2696</v>
      </c>
    </row>
    <row r="21">
      <c r="A21" s="7" t="s">
        <v>41</v>
      </c>
      <c r="B21" s="139" t="s">
        <v>2697</v>
      </c>
      <c r="C21" s="139" t="s">
        <v>2698</v>
      </c>
    </row>
    <row r="22">
      <c r="A22" s="7" t="s">
        <v>41</v>
      </c>
      <c r="B22" s="139" t="s">
        <v>2699</v>
      </c>
      <c r="C22" s="139" t="s">
        <v>2700</v>
      </c>
    </row>
    <row r="23">
      <c r="A23" s="7" t="s">
        <v>43</v>
      </c>
      <c r="B23" s="139" t="s">
        <v>2701</v>
      </c>
      <c r="C23" s="139" t="s">
        <v>2702</v>
      </c>
    </row>
    <row r="24">
      <c r="A24" s="7" t="s">
        <v>46</v>
      </c>
      <c r="B24" s="139" t="s">
        <v>2703</v>
      </c>
      <c r="C24" s="139" t="s">
        <v>2704</v>
      </c>
    </row>
    <row r="25">
      <c r="A25" s="7" t="s">
        <v>48</v>
      </c>
      <c r="B25" s="139" t="s">
        <v>2705</v>
      </c>
      <c r="C25" s="139" t="s">
        <v>2706</v>
      </c>
    </row>
    <row r="26">
      <c r="A26" s="7" t="s">
        <v>48</v>
      </c>
      <c r="B26" s="139" t="s">
        <v>2707</v>
      </c>
      <c r="C26" s="139" t="s">
        <v>2708</v>
      </c>
    </row>
    <row r="27">
      <c r="A27" s="7" t="s">
        <v>51</v>
      </c>
      <c r="B27" s="139" t="s">
        <v>2709</v>
      </c>
      <c r="C27" s="139" t="s">
        <v>2710</v>
      </c>
    </row>
    <row r="28">
      <c r="A28" s="7" t="s">
        <v>51</v>
      </c>
      <c r="B28" s="139" t="s">
        <v>2711</v>
      </c>
      <c r="C28" s="139" t="s">
        <v>2712</v>
      </c>
    </row>
    <row r="29">
      <c r="A29" s="7" t="s">
        <v>53</v>
      </c>
      <c r="B29" s="139" t="s">
        <v>2713</v>
      </c>
      <c r="C29" s="139" t="s">
        <v>2714</v>
      </c>
    </row>
    <row r="30">
      <c r="A30" s="7" t="s">
        <v>53</v>
      </c>
      <c r="B30" s="139" t="s">
        <v>2715</v>
      </c>
      <c r="C30" s="139" t="s">
        <v>2716</v>
      </c>
    </row>
    <row r="31">
      <c r="A31" s="7" t="s">
        <v>53</v>
      </c>
      <c r="B31" s="139" t="s">
        <v>2717</v>
      </c>
      <c r="C31" s="139" t="s">
        <v>2718</v>
      </c>
    </row>
    <row r="32">
      <c r="A32" s="7" t="s">
        <v>58</v>
      </c>
      <c r="B32" s="139" t="s">
        <v>2719</v>
      </c>
      <c r="C32" s="139" t="s">
        <v>2720</v>
      </c>
    </row>
    <row r="33">
      <c r="A33" s="7" t="s">
        <v>60</v>
      </c>
      <c r="B33" s="139" t="s">
        <v>2721</v>
      </c>
      <c r="C33" s="139" t="s">
        <v>2722</v>
      </c>
    </row>
    <row r="34">
      <c r="A34" s="7" t="s">
        <v>62</v>
      </c>
      <c r="B34" s="139" t="s">
        <v>2723</v>
      </c>
      <c r="C34" s="139" t="s">
        <v>2724</v>
      </c>
    </row>
    <row r="35">
      <c r="A35" s="7" t="s">
        <v>62</v>
      </c>
      <c r="B35" s="139" t="s">
        <v>2725</v>
      </c>
      <c r="C35" s="139" t="s">
        <v>2726</v>
      </c>
    </row>
    <row r="36">
      <c r="A36" s="7" t="s">
        <v>64</v>
      </c>
      <c r="B36" s="139" t="s">
        <v>2727</v>
      </c>
      <c r="C36" s="139" t="s">
        <v>2728</v>
      </c>
    </row>
    <row r="37">
      <c r="A37" s="7" t="s">
        <v>66</v>
      </c>
      <c r="B37" s="139" t="s">
        <v>2729</v>
      </c>
      <c r="C37" s="139" t="s">
        <v>2730</v>
      </c>
    </row>
    <row r="38">
      <c r="A38" s="7" t="s">
        <v>66</v>
      </c>
      <c r="B38" s="139" t="s">
        <v>2731</v>
      </c>
      <c r="C38" s="139" t="s">
        <v>2732</v>
      </c>
    </row>
    <row r="39">
      <c r="A39" s="7" t="s">
        <v>68</v>
      </c>
      <c r="B39" s="139" t="s">
        <v>2733</v>
      </c>
      <c r="C39" s="139" t="s">
        <v>2734</v>
      </c>
    </row>
    <row r="40">
      <c r="A40" s="7" t="s">
        <v>70</v>
      </c>
      <c r="B40" s="139" t="s">
        <v>2735</v>
      </c>
      <c r="C40" s="139" t="s">
        <v>2736</v>
      </c>
    </row>
    <row r="41">
      <c r="A41" s="7" t="s">
        <v>72</v>
      </c>
      <c r="B41" s="139" t="s">
        <v>2737</v>
      </c>
      <c r="C41" s="139" t="s">
        <v>2738</v>
      </c>
    </row>
    <row r="42">
      <c r="A42" s="7" t="s">
        <v>74</v>
      </c>
      <c r="B42" s="139" t="s">
        <v>2739</v>
      </c>
      <c r="C42" s="139" t="s">
        <v>2740</v>
      </c>
    </row>
    <row r="43">
      <c r="A43" s="7" t="s">
        <v>74</v>
      </c>
      <c r="B43" s="139" t="s">
        <v>2741</v>
      </c>
      <c r="C43" s="139" t="s">
        <v>2742</v>
      </c>
    </row>
    <row r="44">
      <c r="A44" s="7" t="s">
        <v>77</v>
      </c>
      <c r="B44" s="155" t="s">
        <v>2743</v>
      </c>
      <c r="C44" s="155" t="s">
        <v>2744</v>
      </c>
    </row>
    <row r="45">
      <c r="A45" s="7" t="s">
        <v>81</v>
      </c>
      <c r="B45" s="139" t="s">
        <v>2745</v>
      </c>
      <c r="C45" s="139" t="s">
        <v>2746</v>
      </c>
    </row>
    <row r="46">
      <c r="A46" s="7" t="s">
        <v>81</v>
      </c>
      <c r="B46" s="139" t="s">
        <v>2747</v>
      </c>
      <c r="C46" s="139" t="s">
        <v>2748</v>
      </c>
    </row>
    <row r="47">
      <c r="A47" s="7" t="s">
        <v>83</v>
      </c>
      <c r="B47" s="139" t="s">
        <v>2749</v>
      </c>
      <c r="C47" s="139" t="s">
        <v>2750</v>
      </c>
    </row>
    <row r="48">
      <c r="A48" s="7" t="s">
        <v>86</v>
      </c>
      <c r="B48" s="139" t="s">
        <v>2751</v>
      </c>
      <c r="C48" s="139" t="s">
        <v>2752</v>
      </c>
    </row>
    <row r="49">
      <c r="A49" s="7" t="s">
        <v>86</v>
      </c>
      <c r="B49" s="139" t="s">
        <v>2753</v>
      </c>
      <c r="C49" s="139" t="s">
        <v>2754</v>
      </c>
    </row>
    <row r="50">
      <c r="A50" s="7" t="s">
        <v>88</v>
      </c>
      <c r="B50" s="139" t="s">
        <v>2755</v>
      </c>
      <c r="C50" s="139" t="s">
        <v>2756</v>
      </c>
    </row>
    <row r="51">
      <c r="A51" s="7" t="s">
        <v>90</v>
      </c>
      <c r="B51" s="139" t="s">
        <v>2757</v>
      </c>
      <c r="C51" s="139" t="s">
        <v>2758</v>
      </c>
    </row>
    <row r="52">
      <c r="A52" s="7" t="s">
        <v>92</v>
      </c>
      <c r="B52" s="139" t="s">
        <v>2759</v>
      </c>
      <c r="C52" s="139" t="s">
        <v>2760</v>
      </c>
    </row>
    <row r="53">
      <c r="A53" s="155" t="s">
        <v>1719</v>
      </c>
      <c r="B53" s="139" t="s">
        <v>2761</v>
      </c>
      <c r="C53" s="139" t="s">
        <v>2762</v>
      </c>
    </row>
    <row r="54">
      <c r="A54" s="155" t="s">
        <v>95</v>
      </c>
      <c r="B54" s="139" t="s">
        <v>2763</v>
      </c>
      <c r="C54" s="139" t="s">
        <v>2764</v>
      </c>
    </row>
    <row r="55">
      <c r="A55" s="7" t="s">
        <v>96</v>
      </c>
      <c r="B55" s="139" t="s">
        <v>2765</v>
      </c>
      <c r="C55" s="139" t="s">
        <v>2766</v>
      </c>
    </row>
    <row r="56">
      <c r="A56" s="155" t="s">
        <v>97</v>
      </c>
      <c r="B56" s="139" t="s">
        <v>2767</v>
      </c>
      <c r="C56" s="139" t="s">
        <v>2768</v>
      </c>
    </row>
    <row r="57">
      <c r="A57" s="155" t="s">
        <v>97</v>
      </c>
      <c r="B57" s="139" t="s">
        <v>2769</v>
      </c>
      <c r="C57" s="139" t="s">
        <v>2770</v>
      </c>
    </row>
    <row r="58">
      <c r="A58" s="155" t="s">
        <v>100</v>
      </c>
      <c r="B58" s="139" t="s">
        <v>2771</v>
      </c>
      <c r="C58" s="139" t="s">
        <v>2772</v>
      </c>
    </row>
    <row r="59">
      <c r="A59" s="7" t="s">
        <v>102</v>
      </c>
      <c r="B59" s="139" t="s">
        <v>2773</v>
      </c>
      <c r="C59" s="139" t="s">
        <v>2774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8.0"/>
    <col customWidth="1" min="3" max="3" width="50.0"/>
    <col customWidth="1" min="4" max="4" width="18.5"/>
    <col customWidth="1" min="5" max="5" width="9.25"/>
    <col customWidth="1" min="6" max="6" width="47.13"/>
  </cols>
  <sheetData>
    <row r="1">
      <c r="A1" s="156" t="s">
        <v>307</v>
      </c>
      <c r="B1" s="157" t="s">
        <v>613</v>
      </c>
      <c r="C1" s="160" t="s">
        <v>12</v>
      </c>
      <c r="D1" s="157" t="s">
        <v>2775</v>
      </c>
      <c r="E1" s="161" t="s">
        <v>2776</v>
      </c>
      <c r="F1" s="161" t="s">
        <v>2777</v>
      </c>
      <c r="G1" s="142"/>
      <c r="H1" s="142"/>
      <c r="I1" s="142"/>
      <c r="J1" s="142"/>
      <c r="K1" s="142"/>
      <c r="L1" s="142"/>
      <c r="M1" s="142"/>
      <c r="N1" s="142"/>
      <c r="O1" s="142"/>
      <c r="P1" s="142"/>
      <c r="Q1" s="142"/>
      <c r="R1" s="142"/>
      <c r="S1" s="142"/>
      <c r="T1" s="142"/>
      <c r="U1" s="142"/>
      <c r="V1" s="142"/>
      <c r="W1" s="142"/>
      <c r="X1" s="142"/>
      <c r="Y1" s="142"/>
      <c r="Z1" s="142"/>
      <c r="AA1" s="142"/>
    </row>
    <row r="2">
      <c r="A2" s="155"/>
      <c r="B2" s="142" t="s">
        <v>2778</v>
      </c>
      <c r="C2" s="162" t="s">
        <v>2779</v>
      </c>
      <c r="D2" s="142"/>
      <c r="E2" s="141"/>
      <c r="F2" s="141">
        <v>140.0</v>
      </c>
      <c r="G2" s="142"/>
      <c r="H2" s="142"/>
      <c r="I2" s="142"/>
      <c r="J2" s="142"/>
      <c r="K2" s="142"/>
      <c r="L2" s="142"/>
      <c r="M2" s="142"/>
      <c r="N2" s="142"/>
      <c r="O2" s="142"/>
      <c r="P2" s="142"/>
      <c r="Q2" s="142"/>
      <c r="R2" s="142"/>
      <c r="S2" s="142"/>
      <c r="T2" s="142"/>
      <c r="U2" s="142"/>
      <c r="V2" s="142"/>
      <c r="W2" s="142"/>
      <c r="X2" s="142"/>
      <c r="Y2" s="142"/>
      <c r="Z2" s="142"/>
      <c r="AA2" s="142"/>
    </row>
    <row r="3">
      <c r="A3" s="155" t="s">
        <v>20</v>
      </c>
      <c r="B3" s="142" t="s">
        <v>2780</v>
      </c>
      <c r="C3" s="162" t="s">
        <v>2781</v>
      </c>
      <c r="D3" s="142" t="s">
        <v>2782</v>
      </c>
      <c r="E3" s="141" t="s">
        <v>2783</v>
      </c>
      <c r="F3" s="141" t="s">
        <v>2784</v>
      </c>
      <c r="G3" s="142"/>
      <c r="H3" s="142"/>
      <c r="I3" s="142"/>
      <c r="J3" s="142"/>
      <c r="K3" s="142"/>
      <c r="L3" s="142"/>
      <c r="M3" s="142"/>
      <c r="N3" s="142"/>
      <c r="O3" s="142"/>
      <c r="P3" s="142"/>
      <c r="Q3" s="142"/>
      <c r="R3" s="142"/>
      <c r="S3" s="142"/>
      <c r="T3" s="142"/>
      <c r="U3" s="142"/>
      <c r="V3" s="142"/>
      <c r="W3" s="142"/>
      <c r="X3" s="142"/>
      <c r="Y3" s="142"/>
      <c r="Z3" s="142"/>
      <c r="AA3" s="142"/>
    </row>
    <row r="4">
      <c r="A4" s="142"/>
      <c r="B4" s="142" t="s">
        <v>2785</v>
      </c>
      <c r="C4" s="162" t="s">
        <v>2786</v>
      </c>
      <c r="D4" s="142" t="s">
        <v>2787</v>
      </c>
      <c r="E4" s="141" t="s">
        <v>2783</v>
      </c>
      <c r="F4" s="141" t="s">
        <v>2788</v>
      </c>
      <c r="G4" s="142"/>
      <c r="H4" s="142"/>
      <c r="I4" s="142"/>
      <c r="J4" s="142"/>
      <c r="K4" s="142"/>
      <c r="L4" s="142"/>
      <c r="M4" s="142"/>
      <c r="N4" s="142"/>
      <c r="O4" s="142"/>
      <c r="P4" s="142"/>
      <c r="Q4" s="142"/>
      <c r="R4" s="142"/>
      <c r="S4" s="142"/>
      <c r="T4" s="142"/>
      <c r="U4" s="142"/>
      <c r="V4" s="142"/>
      <c r="W4" s="142"/>
      <c r="X4" s="142"/>
      <c r="Y4" s="142"/>
      <c r="Z4" s="142"/>
      <c r="AA4" s="142"/>
    </row>
    <row r="5">
      <c r="A5" s="142"/>
      <c r="B5" s="142" t="s">
        <v>2789</v>
      </c>
      <c r="C5" s="162" t="s">
        <v>2790</v>
      </c>
      <c r="D5" s="142"/>
      <c r="E5" s="141"/>
      <c r="F5" s="141">
        <v>129.0</v>
      </c>
      <c r="G5" s="142"/>
      <c r="H5" s="142"/>
      <c r="I5" s="142"/>
      <c r="J5" s="142"/>
      <c r="K5" s="142"/>
      <c r="L5" s="142"/>
      <c r="M5" s="142"/>
      <c r="N5" s="142"/>
      <c r="O5" s="142"/>
      <c r="P5" s="142"/>
      <c r="Q5" s="142"/>
      <c r="R5" s="142"/>
      <c r="S5" s="142"/>
      <c r="T5" s="142"/>
      <c r="U5" s="142"/>
      <c r="V5" s="142"/>
      <c r="W5" s="142"/>
      <c r="X5" s="142"/>
      <c r="Y5" s="142"/>
      <c r="Z5" s="142"/>
      <c r="AA5" s="142"/>
    </row>
    <row r="6">
      <c r="A6" s="142"/>
      <c r="B6" s="142" t="s">
        <v>2791</v>
      </c>
      <c r="C6" s="162" t="s">
        <v>2792</v>
      </c>
      <c r="D6" s="142"/>
      <c r="E6" s="141"/>
      <c r="F6" s="141" t="s">
        <v>2793</v>
      </c>
      <c r="G6" s="142"/>
      <c r="H6" s="142"/>
      <c r="I6" s="142"/>
      <c r="J6" s="142"/>
      <c r="K6" s="142"/>
      <c r="L6" s="142"/>
      <c r="M6" s="142"/>
      <c r="N6" s="142"/>
      <c r="O6" s="142"/>
      <c r="P6" s="142"/>
      <c r="Q6" s="142"/>
      <c r="R6" s="142"/>
      <c r="S6" s="142"/>
      <c r="T6" s="142"/>
      <c r="U6" s="142"/>
      <c r="V6" s="142"/>
      <c r="W6" s="142"/>
      <c r="X6" s="142"/>
      <c r="Y6" s="142"/>
      <c r="Z6" s="142"/>
      <c r="AA6" s="142"/>
    </row>
    <row r="7">
      <c r="A7" s="142"/>
      <c r="B7" s="142" t="s">
        <v>2794</v>
      </c>
      <c r="C7" s="162" t="s">
        <v>2795</v>
      </c>
      <c r="D7" s="142" t="s">
        <v>2796</v>
      </c>
      <c r="E7" s="141" t="s">
        <v>2797</v>
      </c>
      <c r="F7" s="141" t="s">
        <v>2798</v>
      </c>
      <c r="G7" s="142"/>
      <c r="H7" s="142"/>
      <c r="I7" s="142"/>
      <c r="J7" s="142"/>
      <c r="K7" s="142"/>
      <c r="L7" s="142"/>
      <c r="M7" s="142"/>
      <c r="N7" s="142"/>
      <c r="O7" s="142"/>
      <c r="P7" s="142"/>
      <c r="Q7" s="142"/>
      <c r="R7" s="142"/>
      <c r="S7" s="142"/>
      <c r="T7" s="142"/>
      <c r="U7" s="142"/>
      <c r="V7" s="142"/>
      <c r="W7" s="142"/>
      <c r="X7" s="142"/>
      <c r="Y7" s="142"/>
      <c r="Z7" s="142"/>
      <c r="AA7" s="142"/>
    </row>
    <row r="8">
      <c r="A8" s="142"/>
      <c r="B8" s="142" t="s">
        <v>2799</v>
      </c>
      <c r="C8" s="162" t="s">
        <v>2800</v>
      </c>
      <c r="D8" s="142"/>
      <c r="E8" s="141"/>
      <c r="F8" s="141">
        <v>169.0</v>
      </c>
      <c r="G8" s="142"/>
      <c r="H8" s="142"/>
      <c r="I8" s="142"/>
      <c r="J8" s="142"/>
      <c r="K8" s="142"/>
      <c r="L8" s="142"/>
      <c r="M8" s="142"/>
      <c r="N8" s="142"/>
      <c r="O8" s="142"/>
      <c r="P8" s="142"/>
      <c r="Q8" s="142"/>
      <c r="R8" s="142"/>
      <c r="S8" s="142"/>
      <c r="T8" s="142"/>
      <c r="U8" s="142"/>
      <c r="V8" s="142"/>
      <c r="W8" s="142"/>
      <c r="X8" s="142"/>
      <c r="Y8" s="142"/>
      <c r="Z8" s="142"/>
      <c r="AA8" s="142"/>
    </row>
    <row r="9">
      <c r="A9" s="142"/>
      <c r="B9" s="142" t="s">
        <v>2801</v>
      </c>
      <c r="C9" s="162" t="s">
        <v>2802</v>
      </c>
      <c r="D9" s="142"/>
      <c r="E9" s="141"/>
      <c r="F9" s="141">
        <v>163.0</v>
      </c>
      <c r="G9" s="142"/>
      <c r="H9" s="142"/>
      <c r="I9" s="142"/>
      <c r="J9" s="142"/>
      <c r="K9" s="142"/>
      <c r="L9" s="142"/>
      <c r="M9" s="142"/>
      <c r="N9" s="142"/>
      <c r="O9" s="142"/>
      <c r="P9" s="142"/>
      <c r="Q9" s="142"/>
      <c r="R9" s="142"/>
      <c r="S9" s="142"/>
      <c r="T9" s="142"/>
      <c r="U9" s="142"/>
      <c r="V9" s="142"/>
      <c r="W9" s="142"/>
      <c r="X9" s="142"/>
      <c r="Y9" s="142"/>
      <c r="Z9" s="142"/>
      <c r="AA9" s="142"/>
    </row>
    <row r="10">
      <c r="A10" s="142"/>
      <c r="B10" s="142" t="s">
        <v>2803</v>
      </c>
      <c r="C10" s="162" t="s">
        <v>2804</v>
      </c>
      <c r="D10" s="142"/>
      <c r="E10" s="141"/>
      <c r="F10" s="141">
        <v>95.0</v>
      </c>
      <c r="G10" s="142"/>
      <c r="H10" s="142"/>
      <c r="I10" s="142"/>
      <c r="J10" s="142"/>
      <c r="K10" s="142"/>
      <c r="L10" s="142"/>
      <c r="M10" s="142"/>
      <c r="N10" s="142"/>
      <c r="O10" s="142"/>
      <c r="P10" s="142"/>
      <c r="Q10" s="142"/>
      <c r="R10" s="142"/>
      <c r="S10" s="142"/>
      <c r="T10" s="142"/>
      <c r="U10" s="142"/>
      <c r="V10" s="142"/>
      <c r="W10" s="142"/>
      <c r="X10" s="142"/>
      <c r="Y10" s="142"/>
      <c r="Z10" s="142"/>
      <c r="AA10" s="142"/>
    </row>
    <row r="11">
      <c r="A11" s="142"/>
      <c r="B11" s="142" t="s">
        <v>2805</v>
      </c>
      <c r="C11" s="163" t="s">
        <v>2806</v>
      </c>
      <c r="D11" s="142"/>
      <c r="E11" s="141"/>
      <c r="F11" s="141">
        <v>113.0</v>
      </c>
      <c r="G11" s="142"/>
      <c r="H11" s="142"/>
      <c r="I11" s="142"/>
      <c r="J11" s="142"/>
      <c r="K11" s="142"/>
      <c r="L11" s="142"/>
      <c r="M11" s="142"/>
      <c r="N11" s="142"/>
      <c r="O11" s="142"/>
      <c r="P11" s="142"/>
      <c r="Q11" s="142"/>
      <c r="R11" s="142"/>
      <c r="S11" s="142"/>
      <c r="T11" s="142"/>
      <c r="U11" s="142"/>
      <c r="V11" s="142"/>
      <c r="W11" s="142"/>
      <c r="X11" s="142"/>
      <c r="Y11" s="142"/>
      <c r="Z11" s="142"/>
      <c r="AA11" s="142"/>
    </row>
    <row r="12">
      <c r="A12" s="155" t="s">
        <v>35</v>
      </c>
      <c r="B12" s="142" t="s">
        <v>2807</v>
      </c>
      <c r="C12" s="162" t="s">
        <v>2808</v>
      </c>
      <c r="D12" s="142" t="s">
        <v>2809</v>
      </c>
      <c r="E12" s="141" t="s">
        <v>2810</v>
      </c>
      <c r="F12" s="141" t="s">
        <v>2811</v>
      </c>
      <c r="G12" s="142"/>
      <c r="H12" s="142"/>
      <c r="I12" s="142"/>
      <c r="J12" s="142"/>
      <c r="K12" s="142"/>
      <c r="L12" s="142"/>
      <c r="M12" s="142"/>
      <c r="N12" s="142"/>
      <c r="O12" s="142"/>
      <c r="P12" s="142"/>
      <c r="Q12" s="142"/>
      <c r="R12" s="142"/>
      <c r="S12" s="142"/>
      <c r="T12" s="142"/>
      <c r="U12" s="142"/>
      <c r="V12" s="142"/>
      <c r="W12" s="142"/>
      <c r="X12" s="142"/>
      <c r="Y12" s="142"/>
      <c r="Z12" s="142"/>
      <c r="AA12" s="142"/>
    </row>
    <row r="13">
      <c r="A13" s="142"/>
      <c r="B13" s="142" t="s">
        <v>2812</v>
      </c>
      <c r="C13" s="162" t="s">
        <v>2813</v>
      </c>
      <c r="D13" s="142" t="s">
        <v>2809</v>
      </c>
      <c r="E13" s="141" t="s">
        <v>2814</v>
      </c>
      <c r="F13" s="141" t="s">
        <v>2815</v>
      </c>
      <c r="G13" s="142"/>
      <c r="H13" s="142"/>
      <c r="I13" s="142"/>
      <c r="J13" s="142"/>
      <c r="K13" s="142"/>
      <c r="L13" s="142"/>
      <c r="M13" s="142"/>
      <c r="N13" s="142"/>
      <c r="O13" s="142"/>
      <c r="P13" s="142"/>
      <c r="Q13" s="142"/>
      <c r="R13" s="142"/>
      <c r="S13" s="142"/>
      <c r="T13" s="142"/>
      <c r="U13" s="142"/>
      <c r="V13" s="142"/>
      <c r="W13" s="142"/>
      <c r="X13" s="142"/>
      <c r="Y13" s="142"/>
      <c r="Z13" s="142"/>
      <c r="AA13" s="142"/>
    </row>
    <row r="14">
      <c r="A14" s="142"/>
      <c r="B14" s="142" t="s">
        <v>2816</v>
      </c>
      <c r="C14" s="162" t="s">
        <v>2817</v>
      </c>
      <c r="D14" s="142"/>
      <c r="E14" s="141"/>
      <c r="F14" s="141" t="s">
        <v>2818</v>
      </c>
      <c r="G14" s="142"/>
      <c r="H14" s="142"/>
      <c r="I14" s="142"/>
      <c r="J14" s="142"/>
      <c r="K14" s="142"/>
      <c r="L14" s="142"/>
      <c r="M14" s="142"/>
      <c r="N14" s="142"/>
      <c r="O14" s="142"/>
      <c r="P14" s="142"/>
      <c r="Q14" s="142"/>
      <c r="R14" s="142"/>
      <c r="S14" s="142"/>
      <c r="T14" s="142"/>
      <c r="U14" s="142"/>
      <c r="V14" s="142"/>
      <c r="W14" s="142"/>
      <c r="X14" s="142"/>
      <c r="Y14" s="142"/>
      <c r="Z14" s="142"/>
      <c r="AA14" s="142"/>
    </row>
    <row r="15">
      <c r="A15" s="142"/>
      <c r="B15" s="142" t="s">
        <v>2819</v>
      </c>
      <c r="C15" s="162" t="s">
        <v>2820</v>
      </c>
      <c r="D15" s="142"/>
      <c r="E15" s="141"/>
      <c r="F15" s="141">
        <v>95.0</v>
      </c>
      <c r="G15" s="142"/>
      <c r="H15" s="142"/>
      <c r="I15" s="142"/>
      <c r="J15" s="142"/>
      <c r="K15" s="142"/>
      <c r="L15" s="142"/>
      <c r="M15" s="142"/>
      <c r="N15" s="142"/>
      <c r="O15" s="142"/>
      <c r="P15" s="142"/>
      <c r="Q15" s="142"/>
      <c r="R15" s="142"/>
      <c r="S15" s="142"/>
      <c r="T15" s="142"/>
      <c r="U15" s="142"/>
      <c r="V15" s="142"/>
      <c r="W15" s="142"/>
      <c r="X15" s="142"/>
      <c r="Y15" s="142"/>
      <c r="Z15" s="142"/>
      <c r="AA15" s="142"/>
    </row>
    <row r="16">
      <c r="A16" s="155" t="s">
        <v>96</v>
      </c>
      <c r="B16" s="142" t="s">
        <v>2821</v>
      </c>
      <c r="C16" s="162" t="s">
        <v>2822</v>
      </c>
      <c r="D16" s="142"/>
      <c r="E16" s="141"/>
      <c r="F16" s="141" t="s">
        <v>2823</v>
      </c>
      <c r="G16" s="142"/>
      <c r="H16" s="142"/>
      <c r="I16" s="142"/>
      <c r="J16" s="142"/>
      <c r="K16" s="142"/>
      <c r="L16" s="142"/>
      <c r="M16" s="142"/>
      <c r="N16" s="142"/>
      <c r="O16" s="142"/>
      <c r="P16" s="142"/>
      <c r="Q16" s="142"/>
      <c r="R16" s="142"/>
      <c r="S16" s="142"/>
      <c r="T16" s="142"/>
      <c r="U16" s="142"/>
      <c r="V16" s="142"/>
      <c r="W16" s="142"/>
      <c r="X16" s="142"/>
      <c r="Y16" s="142"/>
      <c r="Z16" s="142"/>
      <c r="AA16" s="142"/>
    </row>
    <row r="17">
      <c r="A17" s="142"/>
      <c r="B17" s="142" t="s">
        <v>2824</v>
      </c>
      <c r="C17" s="162" t="s">
        <v>2825</v>
      </c>
      <c r="D17" s="142" t="s">
        <v>2809</v>
      </c>
      <c r="E17" s="141" t="s">
        <v>2783</v>
      </c>
      <c r="F17" s="141" t="s">
        <v>2826</v>
      </c>
      <c r="G17" s="142"/>
      <c r="H17" s="142"/>
      <c r="I17" s="142"/>
      <c r="J17" s="142"/>
      <c r="K17" s="142"/>
      <c r="L17" s="142"/>
      <c r="M17" s="142"/>
      <c r="N17" s="142"/>
      <c r="O17" s="142"/>
      <c r="P17" s="142"/>
      <c r="Q17" s="142"/>
      <c r="R17" s="142"/>
      <c r="S17" s="142"/>
      <c r="T17" s="142"/>
      <c r="U17" s="142"/>
      <c r="V17" s="142"/>
      <c r="W17" s="142"/>
      <c r="X17" s="142"/>
      <c r="Y17" s="142"/>
      <c r="Z17" s="142"/>
      <c r="AA17" s="142"/>
    </row>
    <row r="18">
      <c r="A18" s="142"/>
      <c r="B18" s="142" t="s">
        <v>2827</v>
      </c>
      <c r="C18" s="162" t="s">
        <v>2828</v>
      </c>
      <c r="D18" s="142" t="s">
        <v>2829</v>
      </c>
      <c r="E18" s="141" t="s">
        <v>2830</v>
      </c>
      <c r="F18" s="141" t="s">
        <v>2831</v>
      </c>
      <c r="G18" s="142"/>
      <c r="H18" s="142"/>
      <c r="I18" s="142"/>
      <c r="J18" s="142"/>
      <c r="K18" s="142"/>
      <c r="L18" s="142"/>
      <c r="M18" s="142"/>
      <c r="N18" s="142"/>
      <c r="O18" s="142"/>
      <c r="P18" s="142"/>
      <c r="Q18" s="142"/>
      <c r="R18" s="142"/>
      <c r="S18" s="142"/>
      <c r="T18" s="142"/>
      <c r="U18" s="142"/>
      <c r="V18" s="142"/>
      <c r="W18" s="142"/>
      <c r="X18" s="142"/>
      <c r="Y18" s="142"/>
      <c r="Z18" s="142"/>
      <c r="AA18" s="142"/>
    </row>
    <row r="19">
      <c r="A19" s="155" t="s">
        <v>46</v>
      </c>
      <c r="B19" s="142" t="s">
        <v>2832</v>
      </c>
      <c r="C19" s="162" t="s">
        <v>2833</v>
      </c>
      <c r="D19" s="142"/>
      <c r="E19" s="141"/>
      <c r="F19" s="141" t="s">
        <v>2834</v>
      </c>
      <c r="G19" s="142"/>
      <c r="H19" s="142"/>
      <c r="I19" s="142"/>
      <c r="J19" s="142"/>
      <c r="K19" s="142"/>
      <c r="L19" s="142"/>
      <c r="M19" s="142"/>
      <c r="N19" s="142"/>
      <c r="O19" s="142"/>
      <c r="P19" s="142"/>
      <c r="Q19" s="142"/>
      <c r="R19" s="142"/>
      <c r="S19" s="142"/>
      <c r="T19" s="142"/>
      <c r="U19" s="142"/>
      <c r="V19" s="142"/>
      <c r="W19" s="142"/>
      <c r="X19" s="142"/>
      <c r="Y19" s="142"/>
      <c r="Z19" s="142"/>
      <c r="AA19" s="142"/>
    </row>
    <row r="20">
      <c r="A20" s="155" t="s">
        <v>25</v>
      </c>
      <c r="B20" s="142" t="s">
        <v>2835</v>
      </c>
      <c r="C20" s="163" t="s">
        <v>2836</v>
      </c>
      <c r="D20" s="142"/>
      <c r="E20" s="141"/>
      <c r="F20" s="141">
        <v>165.0</v>
      </c>
      <c r="G20" s="142"/>
      <c r="H20" s="142"/>
      <c r="I20" s="142"/>
      <c r="J20" s="142"/>
      <c r="K20" s="142"/>
      <c r="L20" s="142"/>
      <c r="M20" s="142"/>
      <c r="N20" s="142"/>
      <c r="O20" s="142"/>
      <c r="P20" s="142"/>
      <c r="Q20" s="142"/>
      <c r="R20" s="142"/>
      <c r="S20" s="142"/>
      <c r="T20" s="142"/>
      <c r="U20" s="142"/>
      <c r="V20" s="142"/>
      <c r="W20" s="142"/>
      <c r="X20" s="142"/>
      <c r="Y20" s="142"/>
      <c r="Z20" s="142"/>
      <c r="AA20" s="142"/>
    </row>
    <row r="21">
      <c r="A21" s="155" t="s">
        <v>77</v>
      </c>
      <c r="B21" s="142" t="s">
        <v>2837</v>
      </c>
      <c r="C21" s="162" t="s">
        <v>2838</v>
      </c>
      <c r="D21" s="142"/>
      <c r="E21" s="141"/>
      <c r="F21" s="141">
        <v>50.0</v>
      </c>
      <c r="G21" s="142"/>
      <c r="H21" s="142"/>
      <c r="I21" s="142"/>
      <c r="J21" s="142"/>
      <c r="K21" s="142"/>
      <c r="L21" s="142"/>
      <c r="M21" s="142"/>
      <c r="N21" s="142"/>
      <c r="O21" s="142"/>
      <c r="P21" s="142"/>
      <c r="Q21" s="142"/>
      <c r="R21" s="142"/>
      <c r="S21" s="142"/>
      <c r="T21" s="142"/>
      <c r="U21" s="142"/>
      <c r="V21" s="142"/>
      <c r="W21" s="142"/>
      <c r="X21" s="142"/>
      <c r="Y21" s="142"/>
      <c r="Z21" s="142"/>
      <c r="AA21" s="142"/>
    </row>
    <row r="22">
      <c r="A22" s="142"/>
      <c r="B22" s="142" t="s">
        <v>2839</v>
      </c>
      <c r="C22" s="162" t="s">
        <v>2840</v>
      </c>
      <c r="D22" s="142"/>
      <c r="E22" s="141"/>
      <c r="F22" s="141" t="s">
        <v>2841</v>
      </c>
      <c r="G22" s="142"/>
      <c r="H22" s="142"/>
      <c r="I22" s="142"/>
      <c r="J22" s="142"/>
      <c r="K22" s="142"/>
      <c r="L22" s="142"/>
      <c r="M22" s="142"/>
      <c r="N22" s="142"/>
      <c r="O22" s="142"/>
      <c r="P22" s="142"/>
      <c r="Q22" s="142"/>
      <c r="R22" s="142"/>
      <c r="S22" s="142"/>
      <c r="T22" s="142"/>
      <c r="U22" s="142"/>
      <c r="V22" s="142"/>
      <c r="W22" s="142"/>
      <c r="X22" s="142"/>
      <c r="Y22" s="142"/>
      <c r="Z22" s="142"/>
      <c r="AA22" s="142"/>
    </row>
    <row r="23">
      <c r="A23" s="142"/>
      <c r="B23" s="142" t="s">
        <v>2842</v>
      </c>
      <c r="C23" s="162" t="s">
        <v>2843</v>
      </c>
      <c r="D23" s="142"/>
      <c r="E23" s="141"/>
      <c r="F23" s="141">
        <v>47.0</v>
      </c>
      <c r="G23" s="142"/>
      <c r="H23" s="142"/>
      <c r="I23" s="142"/>
      <c r="J23" s="142"/>
      <c r="K23" s="142"/>
      <c r="L23" s="142"/>
      <c r="M23" s="142"/>
      <c r="N23" s="142"/>
      <c r="O23" s="142"/>
      <c r="P23" s="142"/>
      <c r="Q23" s="142"/>
      <c r="R23" s="142"/>
      <c r="S23" s="142"/>
      <c r="T23" s="142"/>
      <c r="U23" s="142"/>
      <c r="V23" s="142"/>
      <c r="W23" s="142"/>
      <c r="X23" s="142"/>
      <c r="Y23" s="142"/>
      <c r="Z23" s="142"/>
      <c r="AA23" s="142"/>
    </row>
    <row r="24">
      <c r="A24" s="142"/>
      <c r="B24" s="142" t="s">
        <v>2844</v>
      </c>
      <c r="C24" s="162" t="s">
        <v>2845</v>
      </c>
      <c r="D24" s="142"/>
      <c r="E24" s="141"/>
      <c r="F24" s="141" t="s">
        <v>2846</v>
      </c>
      <c r="G24" s="142"/>
      <c r="H24" s="142"/>
      <c r="I24" s="142"/>
      <c r="J24" s="142"/>
      <c r="K24" s="142"/>
      <c r="L24" s="142"/>
      <c r="M24" s="142"/>
      <c r="N24" s="142"/>
      <c r="O24" s="142"/>
      <c r="P24" s="142"/>
      <c r="Q24" s="142"/>
      <c r="R24" s="142"/>
      <c r="S24" s="142"/>
      <c r="T24" s="142"/>
      <c r="U24" s="142"/>
      <c r="V24" s="142"/>
      <c r="W24" s="142"/>
      <c r="X24" s="142"/>
      <c r="Y24" s="142"/>
      <c r="Z24" s="142"/>
      <c r="AA24" s="142"/>
    </row>
    <row r="25">
      <c r="A25" s="142"/>
      <c r="B25" s="142" t="s">
        <v>2847</v>
      </c>
      <c r="C25" s="162" t="s">
        <v>2848</v>
      </c>
      <c r="D25" s="142"/>
      <c r="E25" s="141"/>
      <c r="F25" s="141">
        <v>144.0</v>
      </c>
      <c r="G25" s="142"/>
      <c r="H25" s="142"/>
      <c r="I25" s="142"/>
      <c r="J25" s="142"/>
      <c r="K25" s="142"/>
      <c r="L25" s="142"/>
      <c r="M25" s="142"/>
      <c r="N25" s="142"/>
      <c r="O25" s="142"/>
      <c r="P25" s="142"/>
      <c r="Q25" s="142"/>
      <c r="R25" s="142"/>
      <c r="S25" s="142"/>
      <c r="T25" s="142"/>
      <c r="U25" s="142"/>
      <c r="V25" s="142"/>
      <c r="W25" s="142"/>
      <c r="X25" s="142"/>
      <c r="Y25" s="142"/>
      <c r="Z25" s="142"/>
      <c r="AA25" s="142"/>
    </row>
    <row r="26">
      <c r="A26" s="155" t="s">
        <v>48</v>
      </c>
      <c r="B26" s="142" t="s">
        <v>2849</v>
      </c>
      <c r="C26" s="162" t="s">
        <v>2850</v>
      </c>
      <c r="D26" s="142"/>
      <c r="E26" s="141"/>
      <c r="F26" s="141" t="s">
        <v>2851</v>
      </c>
      <c r="G26" s="142"/>
      <c r="H26" s="142"/>
      <c r="I26" s="142"/>
      <c r="J26" s="142"/>
      <c r="K26" s="142"/>
      <c r="L26" s="142"/>
      <c r="M26" s="142"/>
      <c r="N26" s="142"/>
      <c r="O26" s="142"/>
      <c r="P26" s="142"/>
      <c r="Q26" s="142"/>
      <c r="R26" s="142"/>
      <c r="S26" s="142"/>
      <c r="T26" s="142"/>
      <c r="U26" s="142"/>
      <c r="V26" s="142"/>
      <c r="W26" s="142"/>
      <c r="X26" s="142"/>
      <c r="Y26" s="142"/>
      <c r="Z26" s="142"/>
      <c r="AA26" s="142"/>
    </row>
    <row r="27">
      <c r="A27" s="142"/>
      <c r="B27" s="142" t="s">
        <v>2852</v>
      </c>
      <c r="C27" s="162" t="s">
        <v>2853</v>
      </c>
      <c r="D27" s="142"/>
      <c r="E27" s="141"/>
      <c r="F27" s="141">
        <v>140.0</v>
      </c>
      <c r="G27" s="142"/>
      <c r="H27" s="142"/>
      <c r="I27" s="142"/>
      <c r="J27" s="142"/>
      <c r="K27" s="142"/>
      <c r="L27" s="142"/>
      <c r="M27" s="142"/>
      <c r="N27" s="142"/>
      <c r="O27" s="142"/>
      <c r="P27" s="142"/>
      <c r="Q27" s="142"/>
      <c r="R27" s="142"/>
      <c r="S27" s="142"/>
      <c r="T27" s="142"/>
      <c r="U27" s="142"/>
      <c r="V27" s="142"/>
      <c r="W27" s="142"/>
      <c r="X27" s="142"/>
      <c r="Y27" s="142"/>
      <c r="Z27" s="142"/>
      <c r="AA27" s="142"/>
    </row>
    <row r="28">
      <c r="A28" s="142"/>
      <c r="B28" s="142" t="s">
        <v>2854</v>
      </c>
      <c r="C28" s="162" t="s">
        <v>2855</v>
      </c>
      <c r="D28" s="142"/>
      <c r="E28" s="141"/>
      <c r="F28" s="141">
        <v>113.0</v>
      </c>
      <c r="G28" s="142"/>
      <c r="H28" s="142"/>
      <c r="I28" s="142"/>
      <c r="J28" s="142"/>
      <c r="K28" s="142"/>
      <c r="L28" s="142"/>
      <c r="M28" s="142"/>
      <c r="N28" s="142"/>
      <c r="O28" s="142"/>
      <c r="P28" s="142"/>
      <c r="Q28" s="142"/>
      <c r="R28" s="142"/>
      <c r="S28" s="142"/>
      <c r="T28" s="142"/>
      <c r="U28" s="142"/>
      <c r="V28" s="142"/>
      <c r="W28" s="142"/>
      <c r="X28" s="142"/>
      <c r="Y28" s="142"/>
      <c r="Z28" s="142"/>
      <c r="AA28" s="142"/>
    </row>
    <row r="29">
      <c r="A29" s="142"/>
      <c r="B29" s="142" t="s">
        <v>2856</v>
      </c>
      <c r="C29" s="162" t="s">
        <v>2857</v>
      </c>
      <c r="D29" s="142"/>
      <c r="E29" s="141"/>
      <c r="F29" s="141" t="s">
        <v>2858</v>
      </c>
      <c r="G29" s="142"/>
      <c r="H29" s="142"/>
      <c r="I29" s="142"/>
      <c r="J29" s="142"/>
      <c r="K29" s="142"/>
      <c r="L29" s="142"/>
      <c r="M29" s="142"/>
      <c r="N29" s="142"/>
      <c r="O29" s="142"/>
      <c r="P29" s="142"/>
      <c r="Q29" s="142"/>
      <c r="R29" s="142"/>
      <c r="S29" s="142"/>
      <c r="T29" s="142"/>
      <c r="U29" s="142"/>
      <c r="V29" s="142"/>
      <c r="W29" s="142"/>
      <c r="X29" s="142"/>
      <c r="Y29" s="142"/>
      <c r="Z29" s="142"/>
      <c r="AA29" s="142"/>
    </row>
    <row r="30">
      <c r="A30" s="142"/>
      <c r="B30" s="142" t="s">
        <v>2859</v>
      </c>
      <c r="C30" s="162" t="s">
        <v>2860</v>
      </c>
      <c r="D30" s="142"/>
      <c r="E30" s="141"/>
      <c r="F30" s="141" t="s">
        <v>2861</v>
      </c>
      <c r="G30" s="142"/>
      <c r="H30" s="142"/>
      <c r="I30" s="142"/>
      <c r="J30" s="142"/>
      <c r="K30" s="142"/>
      <c r="L30" s="142"/>
      <c r="M30" s="142"/>
      <c r="N30" s="142"/>
      <c r="O30" s="142"/>
      <c r="P30" s="142"/>
      <c r="Q30" s="142"/>
      <c r="R30" s="142"/>
      <c r="S30" s="142"/>
      <c r="T30" s="142"/>
      <c r="U30" s="142"/>
      <c r="V30" s="142"/>
      <c r="W30" s="142"/>
      <c r="X30" s="142"/>
      <c r="Y30" s="142"/>
      <c r="Z30" s="142"/>
      <c r="AA30" s="142"/>
    </row>
    <row r="31">
      <c r="A31" s="142"/>
      <c r="B31" s="142" t="s">
        <v>2862</v>
      </c>
      <c r="C31" s="162" t="s">
        <v>2863</v>
      </c>
      <c r="D31" s="142"/>
      <c r="E31" s="141"/>
      <c r="F31" s="141">
        <v>132.0</v>
      </c>
      <c r="G31" s="142"/>
      <c r="H31" s="142"/>
      <c r="I31" s="142"/>
      <c r="J31" s="142"/>
      <c r="K31" s="142"/>
      <c r="L31" s="142"/>
      <c r="M31" s="142"/>
      <c r="N31" s="142"/>
      <c r="O31" s="142"/>
      <c r="P31" s="142"/>
      <c r="Q31" s="142"/>
      <c r="R31" s="142"/>
      <c r="S31" s="142"/>
      <c r="T31" s="142"/>
      <c r="U31" s="142"/>
      <c r="V31" s="142"/>
      <c r="W31" s="142"/>
      <c r="X31" s="142"/>
      <c r="Y31" s="142"/>
      <c r="Z31" s="142"/>
      <c r="AA31" s="142"/>
    </row>
    <row r="32">
      <c r="A32" s="142"/>
      <c r="B32" s="142" t="s">
        <v>2864</v>
      </c>
      <c r="C32" s="162" t="s">
        <v>2865</v>
      </c>
      <c r="D32" s="142"/>
      <c r="E32" s="141"/>
      <c r="F32" s="141" t="s">
        <v>2866</v>
      </c>
      <c r="G32" s="142"/>
      <c r="H32" s="142"/>
      <c r="I32" s="142"/>
      <c r="J32" s="142"/>
      <c r="K32" s="142"/>
      <c r="L32" s="142"/>
      <c r="M32" s="142"/>
      <c r="N32" s="142"/>
      <c r="O32" s="142"/>
      <c r="P32" s="142"/>
      <c r="Q32" s="142"/>
      <c r="R32" s="142"/>
      <c r="S32" s="142"/>
      <c r="T32" s="142"/>
      <c r="U32" s="142"/>
      <c r="V32" s="142"/>
      <c r="W32" s="142"/>
      <c r="X32" s="142"/>
      <c r="Y32" s="142"/>
      <c r="Z32" s="142"/>
      <c r="AA32" s="142"/>
    </row>
    <row r="33">
      <c r="A33" s="142"/>
      <c r="B33" s="155" t="s">
        <v>2867</v>
      </c>
      <c r="C33" s="162" t="s">
        <v>2868</v>
      </c>
      <c r="D33" s="142" t="s">
        <v>2787</v>
      </c>
      <c r="E33" s="141" t="s">
        <v>2810</v>
      </c>
      <c r="F33" s="141" t="s">
        <v>2869</v>
      </c>
      <c r="G33" s="142"/>
      <c r="H33" s="142"/>
      <c r="I33" s="142"/>
      <c r="J33" s="142"/>
      <c r="K33" s="142"/>
      <c r="L33" s="142"/>
      <c r="M33" s="142"/>
      <c r="N33" s="142"/>
      <c r="O33" s="142"/>
      <c r="P33" s="142"/>
      <c r="Q33" s="142"/>
      <c r="R33" s="142"/>
      <c r="S33" s="142"/>
      <c r="T33" s="142"/>
      <c r="U33" s="142"/>
      <c r="V33" s="142"/>
      <c r="W33" s="142"/>
      <c r="X33" s="142"/>
      <c r="Y33" s="142"/>
      <c r="Z33" s="142"/>
      <c r="AA33" s="142"/>
    </row>
    <row r="34">
      <c r="A34" s="142"/>
      <c r="B34" s="142" t="s">
        <v>2870</v>
      </c>
      <c r="C34" s="162" t="s">
        <v>2871</v>
      </c>
      <c r="D34" s="142"/>
      <c r="E34" s="141"/>
      <c r="F34" s="141">
        <v>162.0</v>
      </c>
      <c r="G34" s="142"/>
      <c r="H34" s="142"/>
      <c r="I34" s="142"/>
      <c r="J34" s="142"/>
      <c r="K34" s="142"/>
      <c r="L34" s="142"/>
      <c r="M34" s="142"/>
      <c r="N34" s="142"/>
      <c r="O34" s="142"/>
      <c r="P34" s="142"/>
      <c r="Q34" s="142"/>
      <c r="R34" s="142"/>
      <c r="S34" s="142"/>
      <c r="T34" s="142"/>
      <c r="U34" s="142"/>
      <c r="V34" s="142"/>
      <c r="W34" s="142"/>
      <c r="X34" s="142"/>
      <c r="Y34" s="142"/>
      <c r="Z34" s="142"/>
      <c r="AA34" s="142"/>
    </row>
    <row r="35">
      <c r="A35" s="142"/>
      <c r="B35" s="142" t="s">
        <v>2872</v>
      </c>
      <c r="C35" s="163" t="s">
        <v>2873</v>
      </c>
      <c r="D35" s="142"/>
      <c r="E35" s="141"/>
      <c r="F35" s="141" t="s">
        <v>2874</v>
      </c>
      <c r="G35" s="142"/>
      <c r="H35" s="142"/>
      <c r="I35" s="142"/>
      <c r="J35" s="142"/>
      <c r="K35" s="142"/>
      <c r="L35" s="142"/>
      <c r="M35" s="142"/>
      <c r="N35" s="142"/>
      <c r="O35" s="142"/>
      <c r="P35" s="142"/>
      <c r="Q35" s="142"/>
      <c r="R35" s="142"/>
      <c r="S35" s="142"/>
      <c r="T35" s="142"/>
      <c r="U35" s="142"/>
      <c r="V35" s="142"/>
      <c r="W35" s="142"/>
      <c r="X35" s="142"/>
      <c r="Y35" s="142"/>
      <c r="Z35" s="142"/>
      <c r="AA35" s="142"/>
    </row>
    <row r="36">
      <c r="A36" s="142"/>
      <c r="B36" s="142" t="s">
        <v>2875</v>
      </c>
      <c r="C36" s="162" t="s">
        <v>2876</v>
      </c>
      <c r="D36" s="142"/>
      <c r="E36" s="141"/>
      <c r="F36" s="141">
        <v>79.0</v>
      </c>
      <c r="G36" s="142"/>
      <c r="H36" s="142"/>
      <c r="I36" s="142"/>
      <c r="J36" s="142"/>
      <c r="K36" s="142"/>
      <c r="L36" s="142"/>
      <c r="M36" s="142"/>
      <c r="N36" s="142"/>
      <c r="O36" s="142"/>
      <c r="P36" s="142"/>
      <c r="Q36" s="142"/>
      <c r="R36" s="142"/>
      <c r="S36" s="142"/>
      <c r="T36" s="142"/>
      <c r="U36" s="142"/>
      <c r="V36" s="142"/>
      <c r="W36" s="142"/>
      <c r="X36" s="142"/>
      <c r="Y36" s="142"/>
      <c r="Z36" s="142"/>
      <c r="AA36" s="142"/>
    </row>
    <row r="37">
      <c r="A37" s="142"/>
      <c r="B37" s="142" t="s">
        <v>2877</v>
      </c>
      <c r="C37" s="162" t="s">
        <v>2878</v>
      </c>
      <c r="D37" s="142"/>
      <c r="E37" s="141"/>
      <c r="F37" s="141">
        <v>124.0</v>
      </c>
      <c r="G37" s="142"/>
      <c r="H37" s="142"/>
      <c r="I37" s="142"/>
      <c r="J37" s="142"/>
      <c r="K37" s="142"/>
      <c r="L37" s="142"/>
      <c r="M37" s="142"/>
      <c r="N37" s="142"/>
      <c r="O37" s="142"/>
      <c r="P37" s="142"/>
      <c r="Q37" s="142"/>
      <c r="R37" s="142"/>
      <c r="S37" s="142"/>
      <c r="T37" s="142"/>
      <c r="U37" s="142"/>
      <c r="V37" s="142"/>
      <c r="W37" s="142"/>
      <c r="X37" s="142"/>
      <c r="Y37" s="142"/>
      <c r="Z37" s="142"/>
      <c r="AA37" s="142"/>
    </row>
    <row r="38">
      <c r="A38" s="142"/>
      <c r="B38" s="142" t="s">
        <v>2879</v>
      </c>
      <c r="C38" s="162" t="s">
        <v>2880</v>
      </c>
      <c r="D38" s="142"/>
      <c r="E38" s="141"/>
      <c r="F38" s="141">
        <v>143.0</v>
      </c>
      <c r="G38" s="142"/>
      <c r="H38" s="142"/>
      <c r="I38" s="142"/>
      <c r="J38" s="142"/>
      <c r="K38" s="142"/>
      <c r="L38" s="142"/>
      <c r="M38" s="142"/>
      <c r="N38" s="142"/>
      <c r="O38" s="142"/>
      <c r="P38" s="142"/>
      <c r="Q38" s="142"/>
      <c r="R38" s="142"/>
      <c r="S38" s="142"/>
      <c r="T38" s="142"/>
      <c r="U38" s="142"/>
      <c r="V38" s="142"/>
      <c r="W38" s="142"/>
      <c r="X38" s="142"/>
      <c r="Y38" s="142"/>
      <c r="Z38" s="142"/>
      <c r="AA38" s="142"/>
    </row>
    <row r="39">
      <c r="A39" s="155" t="s">
        <v>43</v>
      </c>
      <c r="B39" s="142" t="s">
        <v>2881</v>
      </c>
      <c r="C39" s="162" t="s">
        <v>2882</v>
      </c>
      <c r="D39" s="142"/>
      <c r="E39" s="141"/>
      <c r="F39" s="141" t="s">
        <v>2883</v>
      </c>
      <c r="G39" s="142"/>
      <c r="H39" s="142"/>
      <c r="I39" s="142"/>
      <c r="J39" s="142"/>
      <c r="K39" s="142"/>
      <c r="L39" s="142"/>
      <c r="M39" s="142"/>
      <c r="N39" s="142"/>
      <c r="O39" s="142"/>
      <c r="P39" s="142"/>
      <c r="Q39" s="142"/>
      <c r="R39" s="142"/>
      <c r="S39" s="142"/>
      <c r="T39" s="142"/>
      <c r="U39" s="142"/>
      <c r="V39" s="142"/>
      <c r="W39" s="142"/>
      <c r="X39" s="142"/>
      <c r="Y39" s="142"/>
      <c r="Z39" s="142"/>
      <c r="AA39" s="142"/>
    </row>
    <row r="40">
      <c r="A40" s="142"/>
      <c r="B40" s="142" t="s">
        <v>2884</v>
      </c>
      <c r="C40" s="162" t="s">
        <v>2885</v>
      </c>
      <c r="D40" s="142"/>
      <c r="E40" s="141"/>
      <c r="F40" s="141">
        <v>88.0</v>
      </c>
      <c r="G40" s="142"/>
      <c r="H40" s="142"/>
      <c r="I40" s="142"/>
      <c r="J40" s="142"/>
      <c r="K40" s="142"/>
      <c r="L40" s="142"/>
      <c r="M40" s="142"/>
      <c r="N40" s="142"/>
      <c r="O40" s="142"/>
      <c r="P40" s="142"/>
      <c r="Q40" s="142"/>
      <c r="R40" s="142"/>
      <c r="S40" s="142"/>
      <c r="T40" s="142"/>
      <c r="U40" s="142"/>
      <c r="V40" s="142"/>
      <c r="W40" s="142"/>
      <c r="X40" s="142"/>
      <c r="Y40" s="142"/>
      <c r="Z40" s="142"/>
      <c r="AA40" s="142"/>
    </row>
    <row r="41">
      <c r="A41" s="142"/>
      <c r="B41" s="142" t="s">
        <v>2886</v>
      </c>
      <c r="C41" s="162" t="s">
        <v>2887</v>
      </c>
      <c r="D41" s="142" t="s">
        <v>2829</v>
      </c>
      <c r="E41" s="141" t="s">
        <v>2810</v>
      </c>
      <c r="F41" s="141" t="s">
        <v>2888</v>
      </c>
      <c r="G41" s="142"/>
      <c r="H41" s="142"/>
      <c r="I41" s="142"/>
      <c r="J41" s="142"/>
      <c r="K41" s="142"/>
      <c r="L41" s="142"/>
      <c r="M41" s="142"/>
      <c r="N41" s="142"/>
      <c r="O41" s="142"/>
      <c r="P41" s="142"/>
      <c r="Q41" s="142"/>
      <c r="R41" s="142"/>
      <c r="S41" s="142"/>
      <c r="T41" s="142"/>
      <c r="U41" s="142"/>
      <c r="V41" s="142"/>
      <c r="W41" s="142"/>
      <c r="X41" s="142"/>
      <c r="Y41" s="142"/>
      <c r="Z41" s="142"/>
      <c r="AA41" s="142"/>
    </row>
    <row r="42">
      <c r="A42" s="142"/>
      <c r="B42" s="142" t="s">
        <v>2889</v>
      </c>
      <c r="C42" s="162" t="s">
        <v>2890</v>
      </c>
      <c r="D42" s="142" t="s">
        <v>2891</v>
      </c>
      <c r="E42" s="141" t="s">
        <v>2797</v>
      </c>
      <c r="F42" s="141" t="s">
        <v>2892</v>
      </c>
      <c r="G42" s="142"/>
      <c r="H42" s="142"/>
      <c r="I42" s="142"/>
      <c r="J42" s="142"/>
      <c r="K42" s="142"/>
      <c r="L42" s="142"/>
      <c r="M42" s="142"/>
      <c r="N42" s="142"/>
      <c r="O42" s="142"/>
      <c r="P42" s="142"/>
      <c r="Q42" s="142"/>
      <c r="R42" s="142"/>
      <c r="S42" s="142"/>
      <c r="T42" s="142"/>
      <c r="U42" s="142"/>
      <c r="V42" s="142"/>
      <c r="W42" s="142"/>
      <c r="X42" s="142"/>
      <c r="Y42" s="142"/>
      <c r="Z42" s="142"/>
      <c r="AA42" s="142"/>
    </row>
    <row r="43">
      <c r="A43" s="142"/>
      <c r="B43" s="142" t="s">
        <v>2893</v>
      </c>
      <c r="C43" s="162" t="s">
        <v>2894</v>
      </c>
      <c r="D43" s="142"/>
      <c r="E43" s="141"/>
      <c r="F43" s="141">
        <v>129.0</v>
      </c>
      <c r="G43" s="142"/>
      <c r="H43" s="142"/>
      <c r="I43" s="142"/>
      <c r="J43" s="142"/>
      <c r="K43" s="142"/>
      <c r="L43" s="142"/>
      <c r="M43" s="142"/>
      <c r="N43" s="142"/>
      <c r="O43" s="142"/>
      <c r="P43" s="142"/>
      <c r="Q43" s="142"/>
      <c r="R43" s="142"/>
      <c r="S43" s="142"/>
      <c r="T43" s="142"/>
      <c r="U43" s="142"/>
      <c r="V43" s="142"/>
      <c r="W43" s="142"/>
      <c r="X43" s="142"/>
      <c r="Y43" s="142"/>
      <c r="Z43" s="142"/>
      <c r="AA43" s="142"/>
    </row>
    <row r="44">
      <c r="A44" s="142"/>
      <c r="B44" s="142" t="s">
        <v>2895</v>
      </c>
      <c r="C44" s="162" t="s">
        <v>2896</v>
      </c>
      <c r="D44" s="142"/>
      <c r="E44" s="141"/>
      <c r="F44" s="141" t="s">
        <v>2897</v>
      </c>
      <c r="G44" s="142"/>
      <c r="H44" s="142"/>
      <c r="I44" s="142"/>
      <c r="J44" s="142"/>
      <c r="K44" s="142"/>
      <c r="L44" s="142"/>
      <c r="M44" s="142"/>
      <c r="N44" s="142"/>
      <c r="O44" s="142"/>
      <c r="P44" s="142"/>
      <c r="Q44" s="142"/>
      <c r="R44" s="142"/>
      <c r="S44" s="142"/>
      <c r="T44" s="142"/>
      <c r="U44" s="142"/>
      <c r="V44" s="142"/>
      <c r="W44" s="142"/>
      <c r="X44" s="142"/>
      <c r="Y44" s="142"/>
      <c r="Z44" s="142"/>
      <c r="AA44" s="142"/>
    </row>
    <row r="45">
      <c r="A45" s="142"/>
      <c r="B45" s="142" t="s">
        <v>2898</v>
      </c>
      <c r="C45" s="162" t="s">
        <v>2899</v>
      </c>
      <c r="D45" s="142" t="s">
        <v>2782</v>
      </c>
      <c r="E45" s="141" t="s">
        <v>2830</v>
      </c>
      <c r="F45" s="141" t="s">
        <v>2900</v>
      </c>
      <c r="G45" s="142"/>
      <c r="H45" s="142"/>
      <c r="I45" s="142"/>
      <c r="J45" s="142"/>
      <c r="K45" s="142"/>
      <c r="L45" s="142"/>
      <c r="M45" s="142"/>
      <c r="N45" s="142"/>
      <c r="O45" s="142"/>
      <c r="P45" s="142"/>
      <c r="Q45" s="142"/>
      <c r="R45" s="142"/>
      <c r="S45" s="142"/>
      <c r="T45" s="142"/>
      <c r="U45" s="142"/>
      <c r="V45" s="142"/>
      <c r="W45" s="142"/>
      <c r="X45" s="142"/>
      <c r="Y45" s="142"/>
      <c r="Z45" s="142"/>
      <c r="AA45" s="142"/>
    </row>
    <row r="46">
      <c r="A46" s="142"/>
      <c r="B46" s="142" t="s">
        <v>2901</v>
      </c>
      <c r="C46" s="162" t="s">
        <v>2902</v>
      </c>
      <c r="D46" s="142"/>
      <c r="E46" s="141"/>
      <c r="F46" s="141">
        <v>43.0</v>
      </c>
      <c r="G46" s="142"/>
      <c r="H46" s="142"/>
      <c r="I46" s="142"/>
      <c r="J46" s="142"/>
      <c r="K46" s="142"/>
      <c r="L46" s="142"/>
      <c r="M46" s="142"/>
      <c r="N46" s="142"/>
      <c r="O46" s="142"/>
      <c r="P46" s="142"/>
      <c r="Q46" s="142"/>
      <c r="R46" s="142"/>
      <c r="S46" s="142"/>
      <c r="T46" s="142"/>
      <c r="U46" s="142"/>
      <c r="V46" s="142"/>
      <c r="W46" s="142"/>
      <c r="X46" s="142"/>
      <c r="Y46" s="142"/>
      <c r="Z46" s="142"/>
      <c r="AA46" s="142"/>
    </row>
    <row r="47">
      <c r="A47" s="142"/>
      <c r="B47" s="142" t="s">
        <v>2903</v>
      </c>
      <c r="C47" s="162" t="s">
        <v>2904</v>
      </c>
      <c r="D47" s="142"/>
      <c r="E47" s="141"/>
      <c r="F47" s="141" t="s">
        <v>2905</v>
      </c>
      <c r="G47" s="142"/>
      <c r="H47" s="142"/>
      <c r="I47" s="142"/>
      <c r="J47" s="142"/>
      <c r="K47" s="142"/>
      <c r="L47" s="142"/>
      <c r="M47" s="142"/>
      <c r="N47" s="142"/>
      <c r="O47" s="142"/>
      <c r="P47" s="142"/>
      <c r="Q47" s="142"/>
      <c r="R47" s="142"/>
      <c r="S47" s="142"/>
      <c r="T47" s="142"/>
      <c r="U47" s="142"/>
      <c r="V47" s="142"/>
      <c r="W47" s="142"/>
      <c r="X47" s="142"/>
      <c r="Y47" s="142"/>
      <c r="Z47" s="142"/>
      <c r="AA47" s="142"/>
    </row>
    <row r="48">
      <c r="A48" s="142"/>
      <c r="B48" s="142" t="s">
        <v>2906</v>
      </c>
      <c r="C48" s="162" t="s">
        <v>2907</v>
      </c>
      <c r="D48" s="142"/>
      <c r="E48" s="141"/>
      <c r="F48" s="141">
        <v>129.0</v>
      </c>
      <c r="G48" s="142"/>
      <c r="H48" s="142"/>
      <c r="I48" s="142"/>
      <c r="J48" s="142"/>
      <c r="K48" s="142"/>
      <c r="L48" s="142"/>
      <c r="M48" s="142"/>
      <c r="N48" s="142"/>
      <c r="O48" s="142"/>
      <c r="P48" s="142"/>
      <c r="Q48" s="142"/>
      <c r="R48" s="142"/>
      <c r="S48" s="142"/>
      <c r="T48" s="142"/>
      <c r="U48" s="142"/>
      <c r="V48" s="142"/>
      <c r="W48" s="142"/>
      <c r="X48" s="142"/>
      <c r="Y48" s="142"/>
      <c r="Z48" s="142"/>
      <c r="AA48" s="142"/>
    </row>
    <row r="49">
      <c r="A49" s="142"/>
      <c r="B49" s="142" t="s">
        <v>2908</v>
      </c>
      <c r="C49" s="162" t="s">
        <v>2909</v>
      </c>
      <c r="D49" s="142" t="s">
        <v>2809</v>
      </c>
      <c r="E49" s="141" t="s">
        <v>2910</v>
      </c>
      <c r="F49" s="141" t="s">
        <v>2911</v>
      </c>
      <c r="G49" s="142"/>
      <c r="H49" s="142"/>
      <c r="I49" s="142"/>
      <c r="J49" s="142"/>
      <c r="K49" s="142"/>
      <c r="L49" s="142"/>
      <c r="M49" s="142"/>
      <c r="N49" s="142"/>
      <c r="O49" s="142"/>
      <c r="P49" s="142"/>
      <c r="Q49" s="142"/>
      <c r="R49" s="142"/>
      <c r="S49" s="142"/>
      <c r="T49" s="142"/>
      <c r="U49" s="142"/>
      <c r="V49" s="142"/>
      <c r="W49" s="142"/>
      <c r="X49" s="142"/>
      <c r="Y49" s="142"/>
      <c r="Z49" s="142"/>
      <c r="AA49" s="142"/>
    </row>
    <row r="50">
      <c r="A50" s="142"/>
      <c r="B50" s="142" t="s">
        <v>2912</v>
      </c>
      <c r="C50" s="162" t="s">
        <v>2913</v>
      </c>
      <c r="D50" s="142"/>
      <c r="E50" s="141"/>
      <c r="F50" s="141" t="s">
        <v>2914</v>
      </c>
      <c r="G50" s="142"/>
      <c r="H50" s="142"/>
      <c r="I50" s="142"/>
      <c r="J50" s="142"/>
      <c r="K50" s="142"/>
      <c r="L50" s="142"/>
      <c r="M50" s="142"/>
      <c r="N50" s="142"/>
      <c r="O50" s="142"/>
      <c r="P50" s="142"/>
      <c r="Q50" s="142"/>
      <c r="R50" s="142"/>
      <c r="S50" s="142"/>
      <c r="T50" s="142"/>
      <c r="U50" s="142"/>
      <c r="V50" s="142"/>
      <c r="W50" s="142"/>
      <c r="X50" s="142"/>
      <c r="Y50" s="142"/>
      <c r="Z50" s="142"/>
      <c r="AA50" s="142"/>
    </row>
    <row r="51">
      <c r="A51" s="142"/>
      <c r="B51" s="142" t="s">
        <v>2915</v>
      </c>
      <c r="C51" s="162" t="s">
        <v>2916</v>
      </c>
      <c r="D51" s="142"/>
      <c r="E51" s="141"/>
      <c r="F51" s="141">
        <v>47.0</v>
      </c>
      <c r="G51" s="142"/>
      <c r="H51" s="142"/>
      <c r="I51" s="142"/>
      <c r="J51" s="142"/>
      <c r="K51" s="142"/>
      <c r="L51" s="142"/>
      <c r="M51" s="142"/>
      <c r="N51" s="142"/>
      <c r="O51" s="142"/>
      <c r="P51" s="142"/>
      <c r="Q51" s="142"/>
      <c r="R51" s="142"/>
      <c r="S51" s="142"/>
      <c r="T51" s="142"/>
      <c r="U51" s="142"/>
      <c r="V51" s="142"/>
      <c r="W51" s="142"/>
      <c r="X51" s="142"/>
      <c r="Y51" s="142"/>
      <c r="Z51" s="142"/>
      <c r="AA51" s="142"/>
    </row>
    <row r="52">
      <c r="A52" s="142"/>
      <c r="B52" s="142" t="s">
        <v>2917</v>
      </c>
      <c r="C52" s="162" t="s">
        <v>2918</v>
      </c>
      <c r="D52" s="142" t="s">
        <v>2809</v>
      </c>
      <c r="E52" s="141" t="s">
        <v>2830</v>
      </c>
      <c r="F52" s="141" t="s">
        <v>2919</v>
      </c>
      <c r="G52" s="142"/>
      <c r="H52" s="142"/>
      <c r="I52" s="142"/>
      <c r="J52" s="142"/>
      <c r="K52" s="142"/>
      <c r="L52" s="142"/>
      <c r="M52" s="142"/>
      <c r="N52" s="142"/>
      <c r="O52" s="142"/>
      <c r="P52" s="142"/>
      <c r="Q52" s="142"/>
      <c r="R52" s="142"/>
      <c r="S52" s="142"/>
      <c r="T52" s="142"/>
      <c r="U52" s="142"/>
      <c r="V52" s="142"/>
      <c r="W52" s="142"/>
      <c r="X52" s="142"/>
      <c r="Y52" s="142"/>
      <c r="Z52" s="142"/>
      <c r="AA52" s="142"/>
    </row>
    <row r="53">
      <c r="A53" s="142"/>
      <c r="B53" s="142" t="s">
        <v>2920</v>
      </c>
      <c r="C53" s="162" t="s">
        <v>2921</v>
      </c>
      <c r="D53" s="142"/>
      <c r="E53" s="141"/>
      <c r="F53" s="141">
        <v>142.0</v>
      </c>
      <c r="G53" s="142"/>
      <c r="H53" s="142"/>
      <c r="I53" s="142"/>
      <c r="J53" s="142"/>
      <c r="K53" s="142"/>
      <c r="L53" s="142"/>
      <c r="M53" s="142"/>
      <c r="N53" s="142"/>
      <c r="O53" s="142"/>
      <c r="P53" s="142"/>
      <c r="Q53" s="142"/>
      <c r="R53" s="142"/>
      <c r="S53" s="142"/>
      <c r="T53" s="142"/>
      <c r="U53" s="142"/>
      <c r="V53" s="142"/>
      <c r="W53" s="142"/>
      <c r="X53" s="142"/>
      <c r="Y53" s="142"/>
      <c r="Z53" s="142"/>
      <c r="AA53" s="142"/>
    </row>
    <row r="54">
      <c r="A54" s="142"/>
      <c r="B54" s="142" t="s">
        <v>2922</v>
      </c>
      <c r="C54" s="162" t="s">
        <v>2923</v>
      </c>
      <c r="D54" s="142"/>
      <c r="E54" s="141"/>
      <c r="F54" s="141">
        <v>176.0</v>
      </c>
      <c r="G54" s="142"/>
      <c r="H54" s="142"/>
      <c r="I54" s="142"/>
      <c r="J54" s="142"/>
      <c r="K54" s="142"/>
      <c r="L54" s="142"/>
      <c r="M54" s="142"/>
      <c r="N54" s="142"/>
      <c r="O54" s="142"/>
      <c r="P54" s="142"/>
      <c r="Q54" s="142"/>
      <c r="R54" s="142"/>
      <c r="S54" s="142"/>
      <c r="T54" s="142"/>
      <c r="U54" s="142"/>
      <c r="V54" s="142"/>
      <c r="W54" s="142"/>
      <c r="X54" s="142"/>
      <c r="Y54" s="142"/>
      <c r="Z54" s="142"/>
      <c r="AA54" s="142"/>
    </row>
    <row r="55">
      <c r="A55" s="155" t="s">
        <v>79</v>
      </c>
      <c r="B55" s="142" t="s">
        <v>2924</v>
      </c>
      <c r="C55" s="162" t="s">
        <v>2925</v>
      </c>
      <c r="D55" s="142" t="s">
        <v>2796</v>
      </c>
      <c r="E55" s="141" t="s">
        <v>2783</v>
      </c>
      <c r="F55" s="141" t="s">
        <v>2926</v>
      </c>
      <c r="G55" s="142"/>
      <c r="H55" s="142"/>
      <c r="I55" s="142"/>
      <c r="J55" s="142"/>
      <c r="K55" s="142"/>
      <c r="L55" s="142"/>
      <c r="M55" s="142"/>
      <c r="N55" s="142"/>
      <c r="O55" s="142"/>
      <c r="P55" s="142"/>
      <c r="Q55" s="142"/>
      <c r="R55" s="142"/>
      <c r="S55" s="142"/>
      <c r="T55" s="142"/>
      <c r="U55" s="142"/>
      <c r="V55" s="142"/>
      <c r="W55" s="142"/>
      <c r="X55" s="142"/>
      <c r="Y55" s="142"/>
      <c r="Z55" s="142"/>
      <c r="AA55" s="142"/>
    </row>
    <row r="56">
      <c r="A56" s="142"/>
      <c r="B56" s="142" t="s">
        <v>2927</v>
      </c>
      <c r="C56" s="162" t="s">
        <v>2928</v>
      </c>
      <c r="D56" s="142"/>
      <c r="E56" s="141"/>
      <c r="F56" s="141">
        <v>105.0</v>
      </c>
      <c r="G56" s="142"/>
      <c r="H56" s="142"/>
      <c r="I56" s="142"/>
      <c r="J56" s="142"/>
      <c r="K56" s="142"/>
      <c r="L56" s="142"/>
      <c r="M56" s="142"/>
      <c r="N56" s="142"/>
      <c r="O56" s="142"/>
      <c r="P56" s="142"/>
      <c r="Q56" s="142"/>
      <c r="R56" s="142"/>
      <c r="S56" s="142"/>
      <c r="T56" s="142"/>
      <c r="U56" s="142"/>
      <c r="V56" s="142"/>
      <c r="W56" s="142"/>
      <c r="X56" s="142"/>
      <c r="Y56" s="142"/>
      <c r="Z56" s="142"/>
      <c r="AA56" s="142"/>
    </row>
    <row r="57">
      <c r="A57" s="142"/>
      <c r="B57" s="142" t="s">
        <v>2929</v>
      </c>
      <c r="C57" s="162" t="s">
        <v>2930</v>
      </c>
      <c r="D57" s="142"/>
      <c r="E57" s="141"/>
      <c r="F57" s="141">
        <v>43.0</v>
      </c>
      <c r="G57" s="142"/>
      <c r="H57" s="142"/>
      <c r="I57" s="142"/>
      <c r="J57" s="142"/>
      <c r="K57" s="142"/>
      <c r="L57" s="142"/>
      <c r="M57" s="142"/>
      <c r="N57" s="142"/>
      <c r="O57" s="142"/>
      <c r="P57" s="142"/>
      <c r="Q57" s="142"/>
      <c r="R57" s="142"/>
      <c r="S57" s="142"/>
      <c r="T57" s="142"/>
      <c r="U57" s="142"/>
      <c r="V57" s="142"/>
      <c r="W57" s="142"/>
      <c r="X57" s="142"/>
      <c r="Y57" s="142"/>
      <c r="Z57" s="142"/>
      <c r="AA57" s="142"/>
    </row>
    <row r="58">
      <c r="A58" s="142"/>
      <c r="B58" s="142" t="s">
        <v>2931</v>
      </c>
      <c r="C58" s="162" t="s">
        <v>2932</v>
      </c>
      <c r="D58" s="142" t="s">
        <v>2933</v>
      </c>
      <c r="E58" s="141" t="s">
        <v>2783</v>
      </c>
      <c r="F58" s="141" t="s">
        <v>2934</v>
      </c>
      <c r="G58" s="142"/>
      <c r="H58" s="142"/>
      <c r="I58" s="142"/>
      <c r="J58" s="142"/>
      <c r="K58" s="142"/>
      <c r="L58" s="142"/>
      <c r="M58" s="142"/>
      <c r="N58" s="142"/>
      <c r="O58" s="142"/>
      <c r="P58" s="142"/>
      <c r="Q58" s="142"/>
      <c r="R58" s="142"/>
      <c r="S58" s="142"/>
      <c r="T58" s="142"/>
      <c r="U58" s="142"/>
      <c r="V58" s="142"/>
      <c r="W58" s="142"/>
      <c r="X58" s="142"/>
      <c r="Y58" s="142"/>
      <c r="Z58" s="142"/>
      <c r="AA58" s="142"/>
    </row>
    <row r="59">
      <c r="A59" s="142"/>
      <c r="B59" s="142" t="s">
        <v>2935</v>
      </c>
      <c r="C59" s="162" t="s">
        <v>2936</v>
      </c>
      <c r="D59" s="142"/>
      <c r="E59" s="141"/>
      <c r="F59" s="141">
        <v>157.0</v>
      </c>
      <c r="G59" s="142"/>
      <c r="H59" s="142"/>
      <c r="I59" s="142"/>
      <c r="J59" s="142"/>
      <c r="K59" s="142"/>
      <c r="L59" s="142"/>
      <c r="M59" s="142"/>
      <c r="N59" s="142"/>
      <c r="O59" s="142"/>
      <c r="P59" s="142"/>
      <c r="Q59" s="142"/>
      <c r="R59" s="142"/>
      <c r="S59" s="142"/>
      <c r="T59" s="142"/>
      <c r="U59" s="142"/>
      <c r="V59" s="142"/>
      <c r="W59" s="142"/>
      <c r="X59" s="142"/>
      <c r="Y59" s="142"/>
      <c r="Z59" s="142"/>
      <c r="AA59" s="142"/>
    </row>
    <row r="60">
      <c r="A60" s="142"/>
      <c r="B60" s="142" t="s">
        <v>2937</v>
      </c>
      <c r="C60" s="162" t="s">
        <v>2938</v>
      </c>
      <c r="D60" s="142"/>
      <c r="E60" s="141"/>
      <c r="F60" s="141" t="s">
        <v>2939</v>
      </c>
      <c r="G60" s="142"/>
      <c r="H60" s="142"/>
      <c r="I60" s="142"/>
      <c r="J60" s="142"/>
      <c r="K60" s="142"/>
      <c r="L60" s="142"/>
      <c r="M60" s="142"/>
      <c r="N60" s="142"/>
      <c r="O60" s="142"/>
      <c r="P60" s="142"/>
      <c r="Q60" s="142"/>
      <c r="R60" s="142"/>
      <c r="S60" s="142"/>
      <c r="T60" s="142"/>
      <c r="U60" s="142"/>
      <c r="V60" s="142"/>
      <c r="W60" s="142"/>
      <c r="X60" s="142"/>
      <c r="Y60" s="142"/>
      <c r="Z60" s="142"/>
      <c r="AA60" s="142"/>
    </row>
    <row r="61">
      <c r="A61" s="142"/>
      <c r="B61" s="142" t="s">
        <v>2940</v>
      </c>
      <c r="C61" s="162" t="s">
        <v>2941</v>
      </c>
      <c r="D61" s="142"/>
      <c r="E61" s="141"/>
      <c r="F61" s="141">
        <v>43.0</v>
      </c>
      <c r="G61" s="142"/>
      <c r="H61" s="142"/>
      <c r="I61" s="142"/>
      <c r="J61" s="142"/>
      <c r="K61" s="142"/>
      <c r="L61" s="142"/>
      <c r="M61" s="142"/>
      <c r="N61" s="142"/>
      <c r="O61" s="142"/>
      <c r="P61" s="142"/>
      <c r="Q61" s="142"/>
      <c r="R61" s="142"/>
      <c r="S61" s="142"/>
      <c r="T61" s="142"/>
      <c r="U61" s="142"/>
      <c r="V61" s="142"/>
      <c r="W61" s="142"/>
      <c r="X61" s="142"/>
      <c r="Y61" s="142"/>
      <c r="Z61" s="142"/>
      <c r="AA61" s="142"/>
    </row>
    <row r="62">
      <c r="A62" s="142"/>
      <c r="B62" s="142" t="s">
        <v>2942</v>
      </c>
      <c r="C62" s="162" t="s">
        <v>2943</v>
      </c>
      <c r="D62" s="142"/>
      <c r="E62" s="141"/>
      <c r="F62" s="141">
        <v>113.0</v>
      </c>
      <c r="G62" s="142"/>
      <c r="H62" s="142"/>
      <c r="I62" s="142"/>
      <c r="J62" s="142"/>
      <c r="K62" s="142"/>
      <c r="L62" s="142"/>
      <c r="M62" s="142"/>
      <c r="N62" s="142"/>
      <c r="O62" s="142"/>
      <c r="P62" s="142"/>
      <c r="Q62" s="142"/>
      <c r="R62" s="142"/>
      <c r="S62" s="142"/>
      <c r="T62" s="142"/>
      <c r="U62" s="142"/>
      <c r="V62" s="142"/>
      <c r="W62" s="142"/>
      <c r="X62" s="142"/>
      <c r="Y62" s="142"/>
      <c r="Z62" s="142"/>
      <c r="AA62" s="142"/>
    </row>
    <row r="63">
      <c r="A63" s="142"/>
      <c r="B63" s="142" t="s">
        <v>2944</v>
      </c>
      <c r="C63" s="162" t="s">
        <v>2945</v>
      </c>
      <c r="D63" s="142"/>
      <c r="E63" s="141"/>
      <c r="F63" s="141">
        <v>43.0</v>
      </c>
      <c r="G63" s="142"/>
      <c r="H63" s="142"/>
      <c r="I63" s="142"/>
      <c r="J63" s="142"/>
      <c r="K63" s="142"/>
      <c r="L63" s="142"/>
      <c r="M63" s="142"/>
      <c r="N63" s="142"/>
      <c r="O63" s="142"/>
      <c r="P63" s="142"/>
      <c r="Q63" s="142"/>
      <c r="R63" s="142"/>
      <c r="S63" s="142"/>
      <c r="T63" s="142"/>
      <c r="U63" s="142"/>
      <c r="V63" s="142"/>
      <c r="W63" s="142"/>
      <c r="X63" s="142"/>
      <c r="Y63" s="142"/>
      <c r="Z63" s="142"/>
      <c r="AA63" s="142"/>
    </row>
    <row r="64">
      <c r="A64" s="142"/>
      <c r="B64" s="142" t="s">
        <v>2946</v>
      </c>
      <c r="C64" s="162" t="s">
        <v>2947</v>
      </c>
      <c r="D64" s="142"/>
      <c r="E64" s="141"/>
      <c r="F64" s="141" t="s">
        <v>2948</v>
      </c>
      <c r="G64" s="142"/>
      <c r="H64" s="142"/>
      <c r="I64" s="142"/>
      <c r="J64" s="142"/>
      <c r="K64" s="142"/>
      <c r="L64" s="142"/>
      <c r="M64" s="142"/>
      <c r="N64" s="142"/>
      <c r="O64" s="142"/>
      <c r="P64" s="142"/>
      <c r="Q64" s="142"/>
      <c r="R64" s="142"/>
      <c r="S64" s="142"/>
      <c r="T64" s="142"/>
      <c r="U64" s="142"/>
      <c r="V64" s="142"/>
      <c r="W64" s="142"/>
      <c r="X64" s="142"/>
      <c r="Y64" s="142"/>
      <c r="Z64" s="142"/>
      <c r="AA64" s="142"/>
    </row>
    <row r="65">
      <c r="A65" s="155" t="s">
        <v>64</v>
      </c>
      <c r="B65" s="142" t="s">
        <v>2949</v>
      </c>
      <c r="C65" s="162" t="s">
        <v>2950</v>
      </c>
      <c r="D65" s="142"/>
      <c r="E65" s="141"/>
      <c r="F65" s="141" t="s">
        <v>2951</v>
      </c>
      <c r="G65" s="142"/>
      <c r="H65" s="142"/>
      <c r="I65" s="142"/>
      <c r="J65" s="142"/>
      <c r="K65" s="142"/>
      <c r="L65" s="142"/>
      <c r="M65" s="142"/>
      <c r="N65" s="142"/>
      <c r="O65" s="142"/>
      <c r="P65" s="142"/>
      <c r="Q65" s="142"/>
      <c r="R65" s="142"/>
      <c r="S65" s="142"/>
      <c r="T65" s="142"/>
      <c r="U65" s="142"/>
      <c r="V65" s="142"/>
      <c r="W65" s="142"/>
      <c r="X65" s="142"/>
      <c r="Y65" s="142"/>
      <c r="Z65" s="142"/>
      <c r="AA65" s="142"/>
    </row>
    <row r="66">
      <c r="A66" s="155" t="s">
        <v>66</v>
      </c>
      <c r="B66" s="142" t="s">
        <v>2952</v>
      </c>
      <c r="C66" s="162" t="s">
        <v>2953</v>
      </c>
      <c r="D66" s="142"/>
      <c r="E66" s="141"/>
      <c r="F66" s="141" t="s">
        <v>2954</v>
      </c>
      <c r="G66" s="142"/>
      <c r="H66" s="142"/>
      <c r="I66" s="142"/>
      <c r="J66" s="142"/>
      <c r="K66" s="142"/>
      <c r="L66" s="142"/>
      <c r="M66" s="142"/>
      <c r="N66" s="142"/>
      <c r="O66" s="142"/>
      <c r="P66" s="142"/>
      <c r="Q66" s="142"/>
      <c r="R66" s="142"/>
      <c r="S66" s="142"/>
      <c r="T66" s="142"/>
      <c r="U66" s="142"/>
      <c r="V66" s="142"/>
      <c r="W66" s="142"/>
      <c r="X66" s="142"/>
      <c r="Y66" s="142"/>
      <c r="Z66" s="142"/>
      <c r="AA66" s="142"/>
    </row>
    <row r="67">
      <c r="A67" s="155" t="s">
        <v>95</v>
      </c>
      <c r="B67" s="142" t="s">
        <v>2955</v>
      </c>
      <c r="C67" s="162" t="s">
        <v>2953</v>
      </c>
      <c r="D67" s="142" t="s">
        <v>2796</v>
      </c>
      <c r="E67" s="141" t="s">
        <v>2810</v>
      </c>
      <c r="F67" s="141" t="s">
        <v>2956</v>
      </c>
      <c r="G67" s="142"/>
      <c r="H67" s="142"/>
      <c r="I67" s="142"/>
      <c r="J67" s="142"/>
      <c r="K67" s="142"/>
      <c r="L67" s="142"/>
      <c r="M67" s="142"/>
      <c r="N67" s="142"/>
      <c r="O67" s="142"/>
      <c r="P67" s="142"/>
      <c r="Q67" s="142"/>
      <c r="R67" s="142"/>
      <c r="S67" s="142"/>
      <c r="T67" s="142"/>
      <c r="U67" s="142"/>
      <c r="V67" s="142"/>
      <c r="W67" s="142"/>
      <c r="X67" s="142"/>
      <c r="Y67" s="142"/>
      <c r="Z67" s="142"/>
      <c r="AA67" s="142"/>
    </row>
    <row r="68">
      <c r="A68" s="142"/>
      <c r="B68" s="142" t="s">
        <v>2957</v>
      </c>
      <c r="C68" s="162" t="s">
        <v>2958</v>
      </c>
      <c r="D68" s="142"/>
      <c r="E68" s="141"/>
      <c r="F68" s="141">
        <v>113.0</v>
      </c>
      <c r="G68" s="142"/>
      <c r="H68" s="142"/>
      <c r="I68" s="142"/>
      <c r="J68" s="142"/>
      <c r="K68" s="142"/>
      <c r="L68" s="142"/>
      <c r="M68" s="142"/>
      <c r="N68" s="142"/>
      <c r="O68" s="142"/>
      <c r="P68" s="142"/>
      <c r="Q68" s="142"/>
      <c r="R68" s="142"/>
      <c r="S68" s="142"/>
      <c r="T68" s="142"/>
      <c r="U68" s="142"/>
      <c r="V68" s="142"/>
      <c r="W68" s="142"/>
      <c r="X68" s="142"/>
      <c r="Y68" s="142"/>
      <c r="Z68" s="142"/>
      <c r="AA68" s="142"/>
    </row>
    <row r="69">
      <c r="A69" s="142"/>
      <c r="B69" s="142" t="s">
        <v>2959</v>
      </c>
      <c r="C69" s="162" t="s">
        <v>2960</v>
      </c>
      <c r="D69" s="142"/>
      <c r="E69" s="141"/>
      <c r="F69" s="141">
        <v>163.0</v>
      </c>
      <c r="G69" s="142"/>
      <c r="H69" s="142"/>
      <c r="I69" s="142"/>
      <c r="J69" s="142"/>
      <c r="K69" s="142"/>
      <c r="L69" s="142"/>
      <c r="M69" s="142"/>
      <c r="N69" s="142"/>
      <c r="O69" s="142"/>
      <c r="P69" s="142"/>
      <c r="Q69" s="142"/>
      <c r="R69" s="142"/>
      <c r="S69" s="142"/>
      <c r="T69" s="142"/>
      <c r="U69" s="142"/>
      <c r="V69" s="142"/>
      <c r="W69" s="142"/>
      <c r="X69" s="142"/>
      <c r="Y69" s="142"/>
      <c r="Z69" s="142"/>
      <c r="AA69" s="142"/>
    </row>
    <row r="70">
      <c r="A70" s="142"/>
      <c r="B70" s="142" t="s">
        <v>2961</v>
      </c>
      <c r="C70" s="162" t="s">
        <v>2962</v>
      </c>
      <c r="D70" s="142" t="s">
        <v>2891</v>
      </c>
      <c r="E70" s="141" t="s">
        <v>2814</v>
      </c>
      <c r="F70" s="141" t="s">
        <v>2963</v>
      </c>
      <c r="G70" s="142"/>
      <c r="H70" s="142"/>
      <c r="I70" s="142"/>
      <c r="J70" s="142"/>
      <c r="K70" s="142"/>
      <c r="L70" s="142"/>
      <c r="M70" s="142"/>
      <c r="N70" s="142"/>
      <c r="O70" s="142"/>
      <c r="P70" s="142"/>
      <c r="Q70" s="142"/>
      <c r="R70" s="142"/>
      <c r="S70" s="142"/>
      <c r="T70" s="142"/>
      <c r="U70" s="142"/>
      <c r="V70" s="142"/>
      <c r="W70" s="142"/>
      <c r="X70" s="142"/>
      <c r="Y70" s="142"/>
      <c r="Z70" s="142"/>
      <c r="AA70" s="142"/>
    </row>
    <row r="71">
      <c r="A71" s="142"/>
      <c r="B71" s="142" t="s">
        <v>2964</v>
      </c>
      <c r="C71" s="162" t="s">
        <v>2965</v>
      </c>
      <c r="D71" s="142"/>
      <c r="E71" s="141"/>
      <c r="F71" s="141">
        <v>43.0</v>
      </c>
      <c r="G71" s="142"/>
      <c r="H71" s="142"/>
      <c r="I71" s="142"/>
      <c r="J71" s="142"/>
      <c r="K71" s="142"/>
      <c r="L71" s="142"/>
      <c r="M71" s="142"/>
      <c r="N71" s="142"/>
      <c r="O71" s="142"/>
      <c r="P71" s="142"/>
      <c r="Q71" s="142"/>
      <c r="R71" s="142"/>
      <c r="S71" s="142"/>
      <c r="T71" s="142"/>
      <c r="U71" s="142"/>
      <c r="V71" s="142"/>
      <c r="W71" s="142"/>
      <c r="X71" s="142"/>
      <c r="Y71" s="142"/>
      <c r="Z71" s="142"/>
      <c r="AA71" s="142"/>
    </row>
    <row r="72">
      <c r="A72" s="142"/>
      <c r="B72" s="142" t="s">
        <v>2966</v>
      </c>
      <c r="C72" s="162" t="s">
        <v>2967</v>
      </c>
      <c r="D72" s="142"/>
      <c r="E72" s="141"/>
      <c r="F72" s="141" t="s">
        <v>2968</v>
      </c>
      <c r="G72" s="142"/>
      <c r="H72" s="142"/>
      <c r="I72" s="142"/>
      <c r="J72" s="142"/>
      <c r="K72" s="142"/>
      <c r="L72" s="142"/>
      <c r="M72" s="142"/>
      <c r="N72" s="142"/>
      <c r="O72" s="142"/>
      <c r="P72" s="142"/>
      <c r="Q72" s="142"/>
      <c r="R72" s="142"/>
      <c r="S72" s="142"/>
      <c r="T72" s="142"/>
      <c r="U72" s="142"/>
      <c r="V72" s="142"/>
      <c r="W72" s="142"/>
      <c r="X72" s="142"/>
      <c r="Y72" s="142"/>
      <c r="Z72" s="142"/>
      <c r="AA72" s="142"/>
    </row>
    <row r="73">
      <c r="A73" s="142"/>
      <c r="B73" s="142" t="s">
        <v>2969</v>
      </c>
      <c r="C73" s="162" t="s">
        <v>2967</v>
      </c>
      <c r="D73" s="142"/>
      <c r="E73" s="141"/>
      <c r="F73" s="141" t="s">
        <v>2970</v>
      </c>
      <c r="G73" s="142"/>
      <c r="H73" s="142"/>
      <c r="I73" s="142"/>
      <c r="J73" s="142"/>
      <c r="K73" s="142"/>
      <c r="L73" s="142"/>
      <c r="M73" s="142"/>
      <c r="N73" s="142"/>
      <c r="O73" s="142"/>
      <c r="P73" s="142"/>
      <c r="Q73" s="142"/>
      <c r="R73" s="142"/>
      <c r="S73" s="142"/>
      <c r="T73" s="142"/>
      <c r="U73" s="142"/>
      <c r="V73" s="142"/>
      <c r="W73" s="142"/>
      <c r="X73" s="142"/>
      <c r="Y73" s="142"/>
      <c r="Z73" s="142"/>
      <c r="AA73" s="142"/>
    </row>
    <row r="74">
      <c r="A74" s="142"/>
      <c r="B74" s="142" t="s">
        <v>2971</v>
      </c>
      <c r="C74" s="162" t="s">
        <v>2967</v>
      </c>
      <c r="D74" s="142" t="s">
        <v>2796</v>
      </c>
      <c r="E74" s="141" t="s">
        <v>2972</v>
      </c>
      <c r="F74" s="141" t="s">
        <v>2973</v>
      </c>
      <c r="G74" s="142"/>
      <c r="H74" s="142"/>
      <c r="I74" s="142"/>
      <c r="J74" s="142"/>
      <c r="K74" s="142"/>
      <c r="L74" s="142"/>
      <c r="M74" s="142"/>
      <c r="N74" s="142"/>
      <c r="O74" s="142"/>
      <c r="P74" s="142"/>
      <c r="Q74" s="142"/>
      <c r="R74" s="142"/>
      <c r="S74" s="142"/>
      <c r="T74" s="142"/>
      <c r="U74" s="142"/>
      <c r="V74" s="142"/>
      <c r="W74" s="142"/>
      <c r="X74" s="142"/>
      <c r="Y74" s="142"/>
      <c r="Z74" s="142"/>
      <c r="AA74" s="142"/>
    </row>
    <row r="75">
      <c r="A75" s="155" t="s">
        <v>53</v>
      </c>
      <c r="B75" s="142" t="s">
        <v>2974</v>
      </c>
      <c r="C75" s="162" t="s">
        <v>2975</v>
      </c>
      <c r="D75" s="142" t="s">
        <v>2787</v>
      </c>
      <c r="E75" s="141" t="s">
        <v>2797</v>
      </c>
      <c r="F75" s="141" t="s">
        <v>2976</v>
      </c>
      <c r="G75" s="142"/>
      <c r="H75" s="142"/>
      <c r="I75" s="142"/>
      <c r="J75" s="142"/>
      <c r="K75" s="142"/>
      <c r="L75" s="142"/>
      <c r="M75" s="142"/>
      <c r="N75" s="142"/>
      <c r="O75" s="142"/>
      <c r="P75" s="142"/>
      <c r="Q75" s="142"/>
      <c r="R75" s="142"/>
      <c r="S75" s="142"/>
      <c r="T75" s="142"/>
      <c r="U75" s="142"/>
      <c r="V75" s="142"/>
      <c r="W75" s="142"/>
      <c r="X75" s="142"/>
      <c r="Y75" s="142"/>
      <c r="Z75" s="142"/>
      <c r="AA75" s="142"/>
    </row>
    <row r="76">
      <c r="A76" s="155" t="s">
        <v>90</v>
      </c>
      <c r="B76" s="142" t="s">
        <v>2977</v>
      </c>
      <c r="C76" s="162" t="s">
        <v>2978</v>
      </c>
      <c r="D76" s="142"/>
      <c r="E76" s="141"/>
      <c r="F76" s="141">
        <v>76.0</v>
      </c>
      <c r="G76" s="142"/>
      <c r="H76" s="142"/>
      <c r="I76" s="142"/>
      <c r="J76" s="142"/>
      <c r="K76" s="142"/>
      <c r="L76" s="142"/>
      <c r="M76" s="142"/>
      <c r="N76" s="142"/>
      <c r="O76" s="142"/>
      <c r="P76" s="142"/>
      <c r="Q76" s="142"/>
      <c r="R76" s="142"/>
      <c r="S76" s="142"/>
      <c r="T76" s="142"/>
      <c r="U76" s="142"/>
      <c r="V76" s="142"/>
      <c r="W76" s="142"/>
      <c r="X76" s="142"/>
      <c r="Y76" s="142"/>
      <c r="Z76" s="142"/>
      <c r="AA76" s="142"/>
    </row>
    <row r="77">
      <c r="A77" s="142"/>
      <c r="B77" s="142" t="s">
        <v>2979</v>
      </c>
      <c r="C77" s="162" t="s">
        <v>2980</v>
      </c>
      <c r="D77" s="142"/>
      <c r="E77" s="141"/>
      <c r="F77" s="141">
        <v>186.0</v>
      </c>
      <c r="G77" s="142"/>
      <c r="H77" s="142"/>
      <c r="I77" s="142"/>
      <c r="J77" s="142"/>
      <c r="K77" s="142"/>
      <c r="L77" s="142"/>
      <c r="M77" s="142"/>
      <c r="N77" s="142"/>
      <c r="O77" s="142"/>
      <c r="P77" s="142"/>
      <c r="Q77" s="142"/>
      <c r="R77" s="142"/>
      <c r="S77" s="142"/>
      <c r="T77" s="142"/>
      <c r="U77" s="142"/>
      <c r="V77" s="142"/>
      <c r="W77" s="142"/>
      <c r="X77" s="142"/>
      <c r="Y77" s="142"/>
      <c r="Z77" s="142"/>
      <c r="AA77" s="142"/>
    </row>
    <row r="78">
      <c r="A78" s="142"/>
      <c r="B78" s="142" t="s">
        <v>2981</v>
      </c>
      <c r="C78" s="162" t="s">
        <v>2982</v>
      </c>
      <c r="D78" s="142"/>
      <c r="E78" s="141"/>
      <c r="F78" s="141" t="s">
        <v>2983</v>
      </c>
      <c r="G78" s="142"/>
      <c r="H78" s="142"/>
      <c r="I78" s="142"/>
      <c r="J78" s="142"/>
      <c r="K78" s="142"/>
      <c r="L78" s="142"/>
      <c r="M78" s="142"/>
      <c r="N78" s="142"/>
      <c r="O78" s="142"/>
      <c r="P78" s="142"/>
      <c r="Q78" s="142"/>
      <c r="R78" s="142"/>
      <c r="S78" s="142"/>
      <c r="T78" s="142"/>
      <c r="U78" s="142"/>
      <c r="V78" s="142"/>
      <c r="W78" s="142"/>
      <c r="X78" s="142"/>
      <c r="Y78" s="142"/>
      <c r="Z78" s="142"/>
      <c r="AA78" s="142"/>
    </row>
    <row r="79">
      <c r="A79" s="142"/>
      <c r="B79" s="142" t="s">
        <v>2984</v>
      </c>
      <c r="C79" s="162" t="s">
        <v>2985</v>
      </c>
      <c r="D79" s="142"/>
      <c r="E79" s="141"/>
      <c r="F79" s="141" t="s">
        <v>2986</v>
      </c>
      <c r="G79" s="142"/>
      <c r="H79" s="142"/>
      <c r="I79" s="142"/>
      <c r="J79" s="142"/>
      <c r="K79" s="142"/>
      <c r="L79" s="142"/>
      <c r="M79" s="142"/>
      <c r="N79" s="142"/>
      <c r="O79" s="142"/>
      <c r="P79" s="142"/>
      <c r="Q79" s="142"/>
      <c r="R79" s="142"/>
      <c r="S79" s="142"/>
      <c r="T79" s="142"/>
      <c r="U79" s="142"/>
      <c r="V79" s="142"/>
      <c r="W79" s="142"/>
      <c r="X79" s="142"/>
      <c r="Y79" s="142"/>
      <c r="Z79" s="142"/>
      <c r="AA79" s="142"/>
    </row>
    <row r="80">
      <c r="A80" s="142"/>
      <c r="B80" s="142" t="s">
        <v>2987</v>
      </c>
      <c r="C80" s="162" t="s">
        <v>2988</v>
      </c>
      <c r="D80" s="142"/>
      <c r="E80" s="141"/>
      <c r="F80" s="141">
        <v>47.0</v>
      </c>
      <c r="G80" s="142"/>
      <c r="H80" s="142"/>
      <c r="I80" s="142"/>
      <c r="J80" s="142"/>
      <c r="K80" s="142"/>
      <c r="L80" s="142"/>
      <c r="M80" s="142"/>
      <c r="N80" s="142"/>
      <c r="O80" s="142"/>
      <c r="P80" s="142"/>
      <c r="Q80" s="142"/>
      <c r="R80" s="142"/>
      <c r="S80" s="142"/>
      <c r="T80" s="142"/>
      <c r="U80" s="142"/>
      <c r="V80" s="142"/>
      <c r="W80" s="142"/>
      <c r="X80" s="142"/>
      <c r="Y80" s="142"/>
      <c r="Z80" s="142"/>
      <c r="AA80" s="142"/>
    </row>
    <row r="81">
      <c r="A81" s="155" t="s">
        <v>41</v>
      </c>
      <c r="B81" s="142" t="s">
        <v>2989</v>
      </c>
      <c r="C81" s="162" t="s">
        <v>2990</v>
      </c>
      <c r="D81" s="142" t="s">
        <v>2782</v>
      </c>
      <c r="E81" s="141" t="s">
        <v>2810</v>
      </c>
      <c r="F81" s="141" t="s">
        <v>2991</v>
      </c>
      <c r="G81" s="142"/>
      <c r="H81" s="142"/>
      <c r="I81" s="142"/>
      <c r="J81" s="142"/>
      <c r="K81" s="142"/>
      <c r="L81" s="142"/>
      <c r="M81" s="142"/>
      <c r="N81" s="142"/>
      <c r="O81" s="142"/>
      <c r="P81" s="142"/>
      <c r="Q81" s="142"/>
      <c r="R81" s="142"/>
      <c r="S81" s="142"/>
      <c r="T81" s="142"/>
      <c r="U81" s="142"/>
      <c r="V81" s="142"/>
      <c r="W81" s="142"/>
      <c r="X81" s="142"/>
      <c r="Y81" s="142"/>
      <c r="Z81" s="142"/>
      <c r="AA81" s="142"/>
    </row>
    <row r="82">
      <c r="A82" s="155" t="s">
        <v>74</v>
      </c>
      <c r="B82" s="142" t="s">
        <v>2992</v>
      </c>
      <c r="C82" s="162" t="s">
        <v>2993</v>
      </c>
      <c r="D82" s="142"/>
      <c r="E82" s="141"/>
      <c r="F82" s="141">
        <v>132.0</v>
      </c>
      <c r="G82" s="142"/>
      <c r="H82" s="142"/>
      <c r="I82" s="142"/>
      <c r="J82" s="142"/>
      <c r="K82" s="142"/>
      <c r="L82" s="142"/>
      <c r="M82" s="142"/>
      <c r="N82" s="142"/>
      <c r="O82" s="142"/>
      <c r="P82" s="142"/>
      <c r="Q82" s="142"/>
      <c r="R82" s="142"/>
      <c r="S82" s="142"/>
      <c r="T82" s="142"/>
      <c r="U82" s="142"/>
      <c r="V82" s="142"/>
      <c r="W82" s="142"/>
      <c r="X82" s="142"/>
      <c r="Y82" s="142"/>
      <c r="Z82" s="142"/>
      <c r="AA82" s="142"/>
    </row>
    <row r="83">
      <c r="A83" s="142"/>
      <c r="B83" s="142" t="s">
        <v>2994</v>
      </c>
      <c r="C83" s="162" t="s">
        <v>2995</v>
      </c>
      <c r="D83" s="142"/>
      <c r="E83" s="141"/>
      <c r="F83" s="141" t="s">
        <v>2905</v>
      </c>
      <c r="G83" s="142"/>
      <c r="H83" s="142"/>
      <c r="I83" s="142"/>
      <c r="J83" s="142"/>
      <c r="K83" s="142"/>
      <c r="L83" s="142"/>
      <c r="M83" s="142"/>
      <c r="N83" s="142"/>
      <c r="O83" s="142"/>
      <c r="P83" s="142"/>
      <c r="Q83" s="142"/>
      <c r="R83" s="142"/>
      <c r="S83" s="142"/>
      <c r="T83" s="142"/>
      <c r="U83" s="142"/>
      <c r="V83" s="142"/>
      <c r="W83" s="142"/>
      <c r="X83" s="142"/>
      <c r="Y83" s="142"/>
      <c r="Z83" s="142"/>
      <c r="AA83" s="142"/>
    </row>
    <row r="84">
      <c r="A84" s="142"/>
      <c r="B84" s="142" t="s">
        <v>2996</v>
      </c>
      <c r="C84" s="162" t="s">
        <v>2997</v>
      </c>
      <c r="D84" s="142"/>
      <c r="E84" s="141"/>
      <c r="F84" s="141" t="s">
        <v>2998</v>
      </c>
      <c r="G84" s="142"/>
      <c r="H84" s="142"/>
      <c r="I84" s="142"/>
      <c r="J84" s="142"/>
      <c r="K84" s="142"/>
      <c r="L84" s="142"/>
      <c r="M84" s="142"/>
      <c r="N84" s="142"/>
      <c r="O84" s="142"/>
      <c r="P84" s="142"/>
      <c r="Q84" s="142"/>
      <c r="R84" s="142"/>
      <c r="S84" s="142"/>
      <c r="T84" s="142"/>
      <c r="U84" s="142"/>
      <c r="V84" s="142"/>
      <c r="W84" s="142"/>
      <c r="X84" s="142"/>
      <c r="Y84" s="142"/>
      <c r="Z84" s="142"/>
      <c r="AA84" s="142"/>
    </row>
    <row r="85">
      <c r="A85" s="142"/>
      <c r="B85" s="142" t="s">
        <v>2999</v>
      </c>
      <c r="C85" s="162" t="s">
        <v>3000</v>
      </c>
      <c r="D85" s="142"/>
      <c r="E85" s="141"/>
      <c r="F85" s="141">
        <v>43.0</v>
      </c>
      <c r="G85" s="142"/>
      <c r="H85" s="142"/>
      <c r="I85" s="142"/>
      <c r="J85" s="142"/>
      <c r="K85" s="142"/>
      <c r="L85" s="142"/>
      <c r="M85" s="142"/>
      <c r="N85" s="142"/>
      <c r="O85" s="142"/>
      <c r="P85" s="142"/>
      <c r="Q85" s="142"/>
      <c r="R85" s="142"/>
      <c r="S85" s="142"/>
      <c r="T85" s="142"/>
      <c r="U85" s="142"/>
      <c r="V85" s="142"/>
      <c r="W85" s="142"/>
      <c r="X85" s="142"/>
      <c r="Y85" s="142"/>
      <c r="Z85" s="142"/>
      <c r="AA85" s="142"/>
    </row>
    <row r="86">
      <c r="A86" s="142"/>
      <c r="B86" s="142" t="s">
        <v>3001</v>
      </c>
      <c r="C86" s="162" t="s">
        <v>3002</v>
      </c>
      <c r="D86" s="142"/>
      <c r="E86" s="141"/>
      <c r="F86" s="141">
        <v>184.0</v>
      </c>
      <c r="G86" s="142"/>
      <c r="H86" s="142"/>
      <c r="I86" s="142"/>
      <c r="J86" s="142"/>
      <c r="K86" s="142"/>
      <c r="L86" s="142"/>
      <c r="M86" s="142"/>
      <c r="N86" s="142"/>
      <c r="O86" s="142"/>
      <c r="P86" s="142"/>
      <c r="Q86" s="142"/>
      <c r="R86" s="142"/>
      <c r="S86" s="142"/>
      <c r="T86" s="142"/>
      <c r="U86" s="142"/>
      <c r="V86" s="142"/>
      <c r="W86" s="142"/>
      <c r="X86" s="142"/>
      <c r="Y86" s="142"/>
      <c r="Z86" s="142"/>
      <c r="AA86" s="142"/>
    </row>
    <row r="87">
      <c r="A87" s="155" t="s">
        <v>3003</v>
      </c>
      <c r="B87" s="142" t="s">
        <v>3004</v>
      </c>
      <c r="C87" s="162" t="s">
        <v>3005</v>
      </c>
      <c r="D87" s="142"/>
      <c r="E87" s="141"/>
      <c r="F87" s="141">
        <v>78.0</v>
      </c>
      <c r="G87" s="142"/>
      <c r="H87" s="142"/>
      <c r="I87" s="142"/>
      <c r="J87" s="142"/>
      <c r="K87" s="142"/>
      <c r="L87" s="142"/>
      <c r="M87" s="142"/>
      <c r="N87" s="142"/>
      <c r="O87" s="142"/>
      <c r="P87" s="142"/>
      <c r="Q87" s="142"/>
      <c r="R87" s="142"/>
      <c r="S87" s="142"/>
      <c r="T87" s="142"/>
      <c r="U87" s="142"/>
      <c r="V87" s="142"/>
      <c r="W87" s="142"/>
      <c r="X87" s="142"/>
      <c r="Y87" s="142"/>
      <c r="Z87" s="142"/>
      <c r="AA87" s="142"/>
    </row>
    <row r="88">
      <c r="A88" s="155" t="s">
        <v>55</v>
      </c>
      <c r="B88" s="142" t="s">
        <v>3006</v>
      </c>
      <c r="C88" s="162" t="s">
        <v>3007</v>
      </c>
      <c r="D88" s="142" t="s">
        <v>2787</v>
      </c>
      <c r="E88" s="141" t="s">
        <v>2814</v>
      </c>
      <c r="F88" s="141" t="s">
        <v>3008</v>
      </c>
      <c r="G88" s="142"/>
      <c r="H88" s="142"/>
      <c r="I88" s="142"/>
      <c r="J88" s="142"/>
      <c r="K88" s="142"/>
      <c r="L88" s="142"/>
      <c r="M88" s="142"/>
      <c r="N88" s="142"/>
      <c r="O88" s="142"/>
      <c r="P88" s="142"/>
      <c r="Q88" s="142"/>
      <c r="R88" s="142"/>
      <c r="S88" s="142"/>
      <c r="T88" s="142"/>
      <c r="U88" s="142"/>
      <c r="V88" s="142"/>
      <c r="W88" s="142"/>
      <c r="X88" s="142"/>
      <c r="Y88" s="142"/>
      <c r="Z88" s="142"/>
      <c r="AA88" s="142"/>
    </row>
    <row r="89">
      <c r="A89" s="142"/>
      <c r="B89" s="142" t="s">
        <v>3009</v>
      </c>
      <c r="C89" s="162" t="s">
        <v>3010</v>
      </c>
      <c r="D89" s="142"/>
      <c r="E89" s="141"/>
      <c r="F89" s="141">
        <v>142.0</v>
      </c>
      <c r="G89" s="142"/>
      <c r="H89" s="142"/>
      <c r="I89" s="142"/>
      <c r="J89" s="142"/>
      <c r="K89" s="142"/>
      <c r="L89" s="142"/>
      <c r="M89" s="142"/>
      <c r="N89" s="142"/>
      <c r="O89" s="142"/>
      <c r="P89" s="142"/>
      <c r="Q89" s="142"/>
      <c r="R89" s="142"/>
      <c r="S89" s="142"/>
      <c r="T89" s="142"/>
      <c r="U89" s="142"/>
      <c r="V89" s="142"/>
      <c r="W89" s="142"/>
      <c r="X89" s="142"/>
      <c r="Y89" s="142"/>
      <c r="Z89" s="142"/>
      <c r="AA89" s="142"/>
    </row>
    <row r="90">
      <c r="A90" s="142"/>
      <c r="B90" s="142" t="s">
        <v>3011</v>
      </c>
      <c r="C90" s="162" t="s">
        <v>3012</v>
      </c>
      <c r="D90" s="142"/>
      <c r="E90" s="141"/>
      <c r="F90" s="141" t="s">
        <v>3013</v>
      </c>
      <c r="G90" s="142"/>
      <c r="H90" s="142"/>
      <c r="I90" s="142"/>
      <c r="J90" s="142"/>
      <c r="K90" s="142"/>
      <c r="L90" s="142"/>
      <c r="M90" s="142"/>
      <c r="N90" s="142"/>
      <c r="O90" s="142"/>
      <c r="P90" s="142"/>
      <c r="Q90" s="142"/>
      <c r="R90" s="142"/>
      <c r="S90" s="142"/>
      <c r="T90" s="142"/>
      <c r="U90" s="142"/>
      <c r="V90" s="142"/>
      <c r="W90" s="142"/>
      <c r="X90" s="142"/>
      <c r="Y90" s="142"/>
      <c r="Z90" s="142"/>
      <c r="AA90" s="142"/>
    </row>
    <row r="91">
      <c r="A91" s="142"/>
      <c r="B91" s="142" t="s">
        <v>3014</v>
      </c>
      <c r="C91" s="162" t="s">
        <v>3015</v>
      </c>
      <c r="D91" s="142"/>
      <c r="E91" s="141"/>
      <c r="F91" s="141" t="s">
        <v>3016</v>
      </c>
      <c r="G91" s="142"/>
      <c r="H91" s="142"/>
      <c r="I91" s="142"/>
      <c r="J91" s="142"/>
      <c r="K91" s="142"/>
      <c r="L91" s="142"/>
      <c r="M91" s="142"/>
      <c r="N91" s="142"/>
      <c r="O91" s="142"/>
      <c r="P91" s="142"/>
      <c r="Q91" s="142"/>
      <c r="R91" s="142"/>
      <c r="S91" s="142"/>
      <c r="T91" s="142"/>
      <c r="U91" s="142"/>
      <c r="V91" s="142"/>
      <c r="W91" s="142"/>
      <c r="X91" s="142"/>
      <c r="Y91" s="142"/>
      <c r="Z91" s="142"/>
      <c r="AA91" s="142"/>
    </row>
    <row r="92">
      <c r="A92" s="155" t="s">
        <v>31</v>
      </c>
      <c r="B92" s="142" t="s">
        <v>3017</v>
      </c>
      <c r="C92" s="162" t="s">
        <v>3018</v>
      </c>
      <c r="D92" s="142"/>
      <c r="E92" s="141"/>
      <c r="F92" s="141">
        <v>157.0</v>
      </c>
      <c r="G92" s="142"/>
      <c r="H92" s="142"/>
      <c r="I92" s="142"/>
      <c r="J92" s="142"/>
      <c r="K92" s="142"/>
      <c r="L92" s="142"/>
      <c r="M92" s="142"/>
      <c r="N92" s="142"/>
      <c r="O92" s="142"/>
      <c r="P92" s="142"/>
      <c r="Q92" s="142"/>
      <c r="R92" s="142"/>
      <c r="S92" s="142"/>
      <c r="T92" s="142"/>
      <c r="U92" s="142"/>
      <c r="V92" s="142"/>
      <c r="W92" s="142"/>
      <c r="X92" s="142"/>
      <c r="Y92" s="142"/>
      <c r="Z92" s="142"/>
      <c r="AA92" s="142"/>
    </row>
    <row r="93">
      <c r="A93" s="142"/>
      <c r="B93" s="142" t="s">
        <v>3019</v>
      </c>
      <c r="C93" s="162" t="s">
        <v>3020</v>
      </c>
      <c r="D93" s="142" t="s">
        <v>2891</v>
      </c>
      <c r="E93" s="141" t="s">
        <v>2830</v>
      </c>
      <c r="F93" s="141" t="s">
        <v>3021</v>
      </c>
      <c r="G93" s="142"/>
      <c r="H93" s="142"/>
      <c r="I93" s="142"/>
      <c r="J93" s="142"/>
      <c r="K93" s="142"/>
      <c r="L93" s="142"/>
      <c r="M93" s="142"/>
      <c r="N93" s="142"/>
      <c r="O93" s="142"/>
      <c r="P93" s="142"/>
      <c r="Q93" s="142"/>
      <c r="R93" s="142"/>
      <c r="S93" s="142"/>
      <c r="T93" s="142"/>
      <c r="U93" s="142"/>
      <c r="V93" s="142"/>
      <c r="W93" s="142"/>
      <c r="X93" s="142"/>
      <c r="Y93" s="142"/>
      <c r="Z93" s="142"/>
      <c r="AA93" s="142"/>
    </row>
    <row r="94">
      <c r="A94" s="142"/>
      <c r="B94" s="142" t="s">
        <v>3022</v>
      </c>
      <c r="C94" s="162" t="s">
        <v>3023</v>
      </c>
      <c r="D94" s="142"/>
      <c r="E94" s="141"/>
      <c r="F94" s="141" t="s">
        <v>3024</v>
      </c>
      <c r="G94" s="142"/>
      <c r="H94" s="142"/>
      <c r="I94" s="142"/>
      <c r="J94" s="142"/>
      <c r="K94" s="142"/>
      <c r="L94" s="142"/>
      <c r="M94" s="142"/>
      <c r="N94" s="142"/>
      <c r="O94" s="142"/>
      <c r="P94" s="142"/>
      <c r="Q94" s="142"/>
      <c r="R94" s="142"/>
      <c r="S94" s="142"/>
      <c r="T94" s="142"/>
      <c r="U94" s="142"/>
      <c r="V94" s="142"/>
      <c r="W94" s="142"/>
      <c r="X94" s="142"/>
      <c r="Y94" s="142"/>
      <c r="Z94" s="142"/>
      <c r="AA94" s="142"/>
    </row>
    <row r="95">
      <c r="A95" s="142"/>
      <c r="B95" s="142" t="s">
        <v>3025</v>
      </c>
      <c r="C95" s="162" t="s">
        <v>3026</v>
      </c>
      <c r="D95" s="142"/>
      <c r="E95" s="141"/>
      <c r="F95" s="141">
        <v>157.0</v>
      </c>
      <c r="G95" s="142"/>
      <c r="H95" s="142"/>
      <c r="I95" s="142"/>
      <c r="J95" s="142"/>
      <c r="K95" s="142"/>
      <c r="L95" s="142"/>
      <c r="M95" s="142"/>
      <c r="N95" s="142"/>
      <c r="O95" s="142"/>
      <c r="P95" s="142"/>
      <c r="Q95" s="142"/>
      <c r="R95" s="142"/>
      <c r="S95" s="142"/>
      <c r="T95" s="142"/>
      <c r="U95" s="142"/>
      <c r="V95" s="142"/>
      <c r="W95" s="142"/>
      <c r="X95" s="142"/>
      <c r="Y95" s="142"/>
      <c r="Z95" s="142"/>
      <c r="AA95" s="142"/>
    </row>
    <row r="96">
      <c r="A96" s="142"/>
      <c r="B96" s="142" t="s">
        <v>3027</v>
      </c>
      <c r="C96" s="162" t="s">
        <v>3028</v>
      </c>
      <c r="D96" s="142"/>
      <c r="E96" s="141"/>
      <c r="F96" s="141" t="s">
        <v>3029</v>
      </c>
      <c r="G96" s="142"/>
      <c r="H96" s="142"/>
      <c r="I96" s="142"/>
      <c r="J96" s="142"/>
      <c r="K96" s="142"/>
      <c r="L96" s="142"/>
      <c r="M96" s="142"/>
      <c r="N96" s="142"/>
      <c r="O96" s="142"/>
      <c r="P96" s="142"/>
      <c r="Q96" s="142"/>
      <c r="R96" s="142"/>
      <c r="S96" s="142"/>
      <c r="T96" s="142"/>
      <c r="U96" s="142"/>
      <c r="V96" s="142"/>
      <c r="W96" s="142"/>
      <c r="X96" s="142"/>
      <c r="Y96" s="142"/>
      <c r="Z96" s="142"/>
      <c r="AA96" s="142"/>
    </row>
    <row r="97">
      <c r="A97" s="142"/>
      <c r="B97" s="142" t="s">
        <v>3030</v>
      </c>
      <c r="C97" s="162" t="s">
        <v>3031</v>
      </c>
      <c r="D97" s="142"/>
      <c r="E97" s="141"/>
      <c r="F97" s="141" t="s">
        <v>3032</v>
      </c>
      <c r="G97" s="142"/>
      <c r="H97" s="142"/>
      <c r="I97" s="142"/>
      <c r="J97" s="142"/>
      <c r="K97" s="142"/>
      <c r="L97" s="142"/>
      <c r="M97" s="142"/>
      <c r="N97" s="142"/>
      <c r="O97" s="142"/>
      <c r="P97" s="142"/>
      <c r="Q97" s="142"/>
      <c r="R97" s="142"/>
      <c r="S97" s="142"/>
      <c r="T97" s="142"/>
      <c r="U97" s="142"/>
      <c r="V97" s="142"/>
      <c r="W97" s="142"/>
      <c r="X97" s="142"/>
      <c r="Y97" s="142"/>
      <c r="Z97" s="142"/>
      <c r="AA97" s="142"/>
    </row>
    <row r="98">
      <c r="A98" s="142"/>
      <c r="B98" s="142" t="s">
        <v>3033</v>
      </c>
      <c r="C98" s="162" t="s">
        <v>3034</v>
      </c>
      <c r="D98" s="142" t="s">
        <v>2809</v>
      </c>
      <c r="E98" s="141" t="s">
        <v>2797</v>
      </c>
      <c r="F98" s="141" t="s">
        <v>3035</v>
      </c>
      <c r="G98" s="142"/>
      <c r="H98" s="142"/>
      <c r="I98" s="142"/>
      <c r="J98" s="142"/>
      <c r="K98" s="142"/>
      <c r="L98" s="142"/>
      <c r="M98" s="142"/>
      <c r="N98" s="142"/>
      <c r="O98" s="142"/>
      <c r="P98" s="142"/>
      <c r="Q98" s="142"/>
      <c r="R98" s="142"/>
      <c r="S98" s="142"/>
      <c r="T98" s="142"/>
      <c r="U98" s="142"/>
      <c r="V98" s="142"/>
      <c r="W98" s="142"/>
      <c r="X98" s="142"/>
      <c r="Y98" s="142"/>
      <c r="Z98" s="142"/>
      <c r="AA98" s="142"/>
    </row>
    <row r="99">
      <c r="A99" s="142"/>
      <c r="B99" s="142" t="s">
        <v>3036</v>
      </c>
      <c r="C99" s="162" t="s">
        <v>3037</v>
      </c>
      <c r="D99" s="142"/>
      <c r="E99" s="141"/>
      <c r="F99" s="141" t="s">
        <v>3038</v>
      </c>
      <c r="G99" s="142"/>
      <c r="H99" s="142"/>
      <c r="I99" s="142"/>
      <c r="J99" s="142"/>
      <c r="K99" s="142"/>
      <c r="L99" s="142"/>
      <c r="M99" s="142"/>
      <c r="N99" s="142"/>
      <c r="O99" s="142"/>
      <c r="P99" s="142"/>
      <c r="Q99" s="142"/>
      <c r="R99" s="142"/>
      <c r="S99" s="142"/>
      <c r="T99" s="142"/>
      <c r="U99" s="142"/>
      <c r="V99" s="142"/>
      <c r="W99" s="142"/>
      <c r="X99" s="142"/>
      <c r="Y99" s="142"/>
      <c r="Z99" s="142"/>
      <c r="AA99" s="142"/>
    </row>
    <row r="100">
      <c r="A100" s="142"/>
      <c r="B100" s="142" t="s">
        <v>3039</v>
      </c>
      <c r="C100" s="162" t="s">
        <v>3040</v>
      </c>
      <c r="D100" s="142" t="s">
        <v>2829</v>
      </c>
      <c r="E100" s="141" t="s">
        <v>2814</v>
      </c>
      <c r="F100" s="141" t="s">
        <v>3041</v>
      </c>
      <c r="G100" s="142"/>
      <c r="H100" s="142"/>
      <c r="I100" s="142"/>
      <c r="J100" s="142"/>
      <c r="K100" s="142"/>
      <c r="L100" s="142"/>
      <c r="M100" s="142"/>
      <c r="N100" s="142"/>
      <c r="O100" s="142"/>
      <c r="P100" s="142"/>
      <c r="Q100" s="142"/>
      <c r="R100" s="142"/>
      <c r="S100" s="142"/>
      <c r="T100" s="142"/>
      <c r="U100" s="142"/>
      <c r="V100" s="142"/>
      <c r="W100" s="142"/>
      <c r="X100" s="142"/>
      <c r="Y100" s="142"/>
      <c r="Z100" s="142"/>
      <c r="AA100" s="142"/>
    </row>
    <row r="101">
      <c r="A101" s="142"/>
      <c r="B101" s="142" t="s">
        <v>3042</v>
      </c>
      <c r="C101" s="162" t="s">
        <v>3043</v>
      </c>
      <c r="D101" s="142" t="s">
        <v>2796</v>
      </c>
      <c r="E101" s="141" t="s">
        <v>2830</v>
      </c>
      <c r="F101" s="141" t="s">
        <v>3044</v>
      </c>
      <c r="G101" s="142"/>
      <c r="H101" s="142"/>
      <c r="I101" s="142"/>
      <c r="J101" s="142"/>
      <c r="K101" s="142"/>
      <c r="L101" s="142"/>
      <c r="M101" s="142"/>
      <c r="N101" s="142"/>
      <c r="O101" s="142"/>
      <c r="P101" s="142"/>
      <c r="Q101" s="142"/>
      <c r="R101" s="142"/>
      <c r="S101" s="142"/>
      <c r="T101" s="142"/>
      <c r="U101" s="142"/>
      <c r="V101" s="142"/>
      <c r="W101" s="142"/>
      <c r="X101" s="142"/>
      <c r="Y101" s="142"/>
      <c r="Z101" s="142"/>
      <c r="AA101" s="142"/>
    </row>
    <row r="102">
      <c r="A102" s="142"/>
      <c r="B102" s="142" t="s">
        <v>3045</v>
      </c>
      <c r="C102" s="162" t="s">
        <v>3046</v>
      </c>
      <c r="D102" s="142"/>
      <c r="E102" s="141"/>
      <c r="F102" s="141">
        <v>169.0</v>
      </c>
      <c r="G102" s="142"/>
      <c r="H102" s="142"/>
      <c r="I102" s="142"/>
      <c r="J102" s="142"/>
      <c r="K102" s="142"/>
      <c r="L102" s="142"/>
      <c r="M102" s="142"/>
      <c r="N102" s="142"/>
      <c r="O102" s="142"/>
      <c r="P102" s="142"/>
      <c r="Q102" s="142"/>
      <c r="R102" s="142"/>
      <c r="S102" s="142"/>
      <c r="T102" s="142"/>
      <c r="U102" s="142"/>
      <c r="V102" s="142"/>
      <c r="W102" s="142"/>
      <c r="X102" s="142"/>
      <c r="Y102" s="142"/>
      <c r="Z102" s="142"/>
      <c r="AA102" s="142"/>
    </row>
    <row r="103">
      <c r="A103" s="142"/>
      <c r="B103" s="142" t="s">
        <v>3047</v>
      </c>
      <c r="C103" s="162" t="s">
        <v>3048</v>
      </c>
      <c r="D103" s="142" t="s">
        <v>2796</v>
      </c>
      <c r="E103" s="141" t="s">
        <v>2910</v>
      </c>
      <c r="F103" s="141" t="s">
        <v>3049</v>
      </c>
      <c r="G103" s="142"/>
      <c r="H103" s="142"/>
      <c r="I103" s="142"/>
      <c r="J103" s="142"/>
      <c r="K103" s="142"/>
      <c r="L103" s="142"/>
      <c r="M103" s="142"/>
      <c r="N103" s="142"/>
      <c r="O103" s="142"/>
      <c r="P103" s="142"/>
      <c r="Q103" s="142"/>
      <c r="R103" s="142"/>
      <c r="S103" s="142"/>
      <c r="T103" s="142"/>
      <c r="U103" s="142"/>
      <c r="V103" s="142"/>
      <c r="W103" s="142"/>
      <c r="X103" s="142"/>
      <c r="Y103" s="142"/>
      <c r="Z103" s="142"/>
      <c r="AA103" s="142"/>
    </row>
    <row r="104">
      <c r="A104" s="142"/>
      <c r="B104" s="142" t="s">
        <v>3050</v>
      </c>
      <c r="C104" s="162" t="s">
        <v>3051</v>
      </c>
      <c r="D104" s="142" t="s">
        <v>2933</v>
      </c>
      <c r="E104" s="141" t="s">
        <v>2810</v>
      </c>
      <c r="F104" s="141" t="s">
        <v>3052</v>
      </c>
      <c r="G104" s="142"/>
      <c r="H104" s="142"/>
      <c r="I104" s="142"/>
      <c r="J104" s="142"/>
      <c r="K104" s="142"/>
      <c r="L104" s="142"/>
      <c r="M104" s="142"/>
      <c r="N104" s="142"/>
      <c r="O104" s="142"/>
      <c r="P104" s="142"/>
      <c r="Q104" s="142"/>
      <c r="R104" s="142"/>
      <c r="S104" s="142"/>
      <c r="T104" s="142"/>
      <c r="U104" s="142"/>
      <c r="V104" s="142"/>
      <c r="W104" s="142"/>
      <c r="X104" s="142"/>
      <c r="Y104" s="142"/>
      <c r="Z104" s="142"/>
      <c r="AA104" s="142"/>
    </row>
    <row r="105">
      <c r="A105" s="142"/>
      <c r="B105" s="142" t="s">
        <v>3053</v>
      </c>
      <c r="C105" s="162" t="s">
        <v>3054</v>
      </c>
      <c r="D105" s="142" t="s">
        <v>2933</v>
      </c>
      <c r="E105" s="141" t="s">
        <v>2830</v>
      </c>
      <c r="F105" s="141" t="s">
        <v>3055</v>
      </c>
      <c r="G105" s="142"/>
      <c r="H105" s="142"/>
      <c r="I105" s="142"/>
      <c r="J105" s="142"/>
      <c r="K105" s="142"/>
      <c r="L105" s="142"/>
      <c r="M105" s="142"/>
      <c r="N105" s="142"/>
      <c r="O105" s="142"/>
      <c r="P105" s="142"/>
      <c r="Q105" s="142"/>
      <c r="R105" s="142"/>
      <c r="S105" s="142"/>
      <c r="T105" s="142"/>
      <c r="U105" s="142"/>
      <c r="V105" s="142"/>
      <c r="W105" s="142"/>
      <c r="X105" s="142"/>
      <c r="Y105" s="142"/>
      <c r="Z105" s="142"/>
      <c r="AA105" s="142"/>
    </row>
    <row r="106">
      <c r="A106" s="155" t="s">
        <v>22</v>
      </c>
      <c r="B106" s="142" t="s">
        <v>3056</v>
      </c>
      <c r="C106" s="162" t="s">
        <v>3057</v>
      </c>
      <c r="D106" s="142" t="s">
        <v>2787</v>
      </c>
      <c r="E106" s="141" t="s">
        <v>2830</v>
      </c>
      <c r="F106" s="141" t="s">
        <v>3058</v>
      </c>
      <c r="G106" s="142"/>
      <c r="H106" s="142"/>
      <c r="I106" s="142"/>
      <c r="J106" s="142"/>
      <c r="K106" s="142"/>
      <c r="L106" s="142"/>
      <c r="M106" s="142"/>
      <c r="N106" s="142"/>
      <c r="O106" s="142"/>
      <c r="P106" s="142"/>
      <c r="Q106" s="142"/>
      <c r="R106" s="142"/>
      <c r="S106" s="142"/>
      <c r="T106" s="142"/>
      <c r="U106" s="142"/>
      <c r="V106" s="142"/>
      <c r="W106" s="142"/>
      <c r="X106" s="142"/>
      <c r="Y106" s="142"/>
      <c r="Z106" s="142"/>
      <c r="AA106" s="142"/>
    </row>
    <row r="107">
      <c r="A107" s="155" t="s">
        <v>72</v>
      </c>
      <c r="B107" s="142" t="s">
        <v>3059</v>
      </c>
      <c r="C107" s="162" t="s">
        <v>3060</v>
      </c>
      <c r="D107" s="142"/>
      <c r="E107" s="141"/>
      <c r="F107" s="141">
        <v>101.0</v>
      </c>
      <c r="G107" s="142"/>
      <c r="H107" s="142"/>
      <c r="I107" s="142"/>
      <c r="J107" s="142"/>
      <c r="K107" s="142"/>
      <c r="L107" s="142"/>
      <c r="M107" s="142"/>
      <c r="N107" s="142"/>
      <c r="O107" s="142"/>
      <c r="P107" s="142"/>
      <c r="Q107" s="142"/>
      <c r="R107" s="142"/>
      <c r="S107" s="142"/>
      <c r="T107" s="142"/>
      <c r="U107" s="142"/>
      <c r="V107" s="142"/>
      <c r="W107" s="142"/>
      <c r="X107" s="142"/>
      <c r="Y107" s="142"/>
      <c r="Z107" s="142"/>
      <c r="AA107" s="142"/>
    </row>
    <row r="108">
      <c r="A108" s="142"/>
      <c r="B108" s="142" t="s">
        <v>3061</v>
      </c>
      <c r="C108" s="162" t="s">
        <v>3062</v>
      </c>
      <c r="D108" s="142"/>
      <c r="E108" s="141"/>
      <c r="F108" s="141">
        <v>45.0</v>
      </c>
      <c r="G108" s="142"/>
      <c r="H108" s="142"/>
      <c r="I108" s="142"/>
      <c r="J108" s="142"/>
      <c r="K108" s="142"/>
      <c r="L108" s="142"/>
      <c r="M108" s="142"/>
      <c r="N108" s="142"/>
      <c r="O108" s="142"/>
      <c r="P108" s="142"/>
      <c r="Q108" s="142"/>
      <c r="R108" s="142"/>
      <c r="S108" s="142"/>
      <c r="T108" s="142"/>
      <c r="U108" s="142"/>
      <c r="V108" s="142"/>
      <c r="W108" s="142"/>
      <c r="X108" s="142"/>
      <c r="Y108" s="142"/>
      <c r="Z108" s="142"/>
      <c r="AA108" s="142"/>
    </row>
    <row r="109">
      <c r="A109" s="142"/>
      <c r="B109" s="142" t="s">
        <v>3063</v>
      </c>
      <c r="C109" s="162" t="s">
        <v>3064</v>
      </c>
      <c r="D109" s="142" t="s">
        <v>2809</v>
      </c>
      <c r="E109" s="141" t="s">
        <v>2972</v>
      </c>
      <c r="F109" s="141" t="s">
        <v>3065</v>
      </c>
      <c r="G109" s="142"/>
      <c r="H109" s="142"/>
      <c r="I109" s="142"/>
      <c r="J109" s="142"/>
      <c r="K109" s="142"/>
      <c r="L109" s="142"/>
      <c r="M109" s="142"/>
      <c r="N109" s="142"/>
      <c r="O109" s="142"/>
      <c r="P109" s="142"/>
      <c r="Q109" s="142"/>
      <c r="R109" s="142"/>
      <c r="S109" s="142"/>
      <c r="T109" s="142"/>
      <c r="U109" s="142"/>
      <c r="V109" s="142"/>
      <c r="W109" s="142"/>
      <c r="X109" s="142"/>
      <c r="Y109" s="142"/>
      <c r="Z109" s="142"/>
      <c r="AA109" s="142"/>
    </row>
    <row r="110">
      <c r="A110" s="142"/>
      <c r="B110" s="142" t="s">
        <v>3066</v>
      </c>
      <c r="C110" s="162" t="s">
        <v>3067</v>
      </c>
      <c r="D110" s="142"/>
      <c r="E110" s="141"/>
      <c r="F110" s="141" t="s">
        <v>3068</v>
      </c>
      <c r="G110" s="142"/>
      <c r="H110" s="142"/>
      <c r="I110" s="142"/>
      <c r="J110" s="142"/>
      <c r="K110" s="142"/>
      <c r="L110" s="142"/>
      <c r="M110" s="142"/>
      <c r="N110" s="142"/>
      <c r="O110" s="142"/>
      <c r="P110" s="142"/>
      <c r="Q110" s="142"/>
      <c r="R110" s="142"/>
      <c r="S110" s="142"/>
      <c r="T110" s="142"/>
      <c r="U110" s="142"/>
      <c r="V110" s="142"/>
      <c r="W110" s="142"/>
      <c r="X110" s="142"/>
      <c r="Y110" s="142"/>
      <c r="Z110" s="142"/>
      <c r="AA110" s="142"/>
    </row>
    <row r="111">
      <c r="A111" s="142"/>
      <c r="B111" s="142" t="s">
        <v>3069</v>
      </c>
      <c r="C111" s="162" t="s">
        <v>3070</v>
      </c>
      <c r="D111" s="142"/>
      <c r="E111" s="141"/>
      <c r="F111" s="141">
        <v>144.0</v>
      </c>
      <c r="G111" s="142"/>
      <c r="H111" s="142"/>
      <c r="I111" s="142"/>
      <c r="J111" s="142"/>
      <c r="K111" s="142"/>
      <c r="L111" s="142"/>
      <c r="M111" s="142"/>
      <c r="N111" s="142"/>
      <c r="O111" s="142"/>
      <c r="P111" s="142"/>
      <c r="Q111" s="142"/>
      <c r="R111" s="142"/>
      <c r="S111" s="142"/>
      <c r="T111" s="142"/>
      <c r="U111" s="142"/>
      <c r="V111" s="142"/>
      <c r="W111" s="142"/>
      <c r="X111" s="142"/>
      <c r="Y111" s="142"/>
      <c r="Z111" s="142"/>
      <c r="AA111" s="142"/>
    </row>
    <row r="112">
      <c r="A112" s="142"/>
      <c r="B112" s="142" t="s">
        <v>3071</v>
      </c>
      <c r="C112" s="162" t="s">
        <v>3072</v>
      </c>
      <c r="D112" s="142"/>
      <c r="E112" s="141"/>
      <c r="F112" s="141" t="s">
        <v>3073</v>
      </c>
      <c r="G112" s="142"/>
      <c r="H112" s="142"/>
      <c r="I112" s="142"/>
      <c r="J112" s="142"/>
      <c r="K112" s="142"/>
      <c r="L112" s="142"/>
      <c r="M112" s="142"/>
      <c r="N112" s="142"/>
      <c r="O112" s="142"/>
      <c r="P112" s="142"/>
      <c r="Q112" s="142"/>
      <c r="R112" s="142"/>
      <c r="S112" s="142"/>
      <c r="T112" s="142"/>
      <c r="U112" s="142"/>
      <c r="V112" s="142"/>
      <c r="W112" s="142"/>
      <c r="X112" s="142"/>
      <c r="Y112" s="142"/>
      <c r="Z112" s="142"/>
      <c r="AA112" s="142"/>
    </row>
    <row r="113">
      <c r="A113" s="142"/>
      <c r="B113" s="142" t="s">
        <v>3074</v>
      </c>
      <c r="C113" s="162" t="s">
        <v>3075</v>
      </c>
      <c r="D113" s="142"/>
      <c r="E113" s="141"/>
      <c r="F113" s="141" t="s">
        <v>3076</v>
      </c>
      <c r="G113" s="142"/>
      <c r="H113" s="142"/>
      <c r="I113" s="142"/>
      <c r="J113" s="142"/>
      <c r="K113" s="142"/>
      <c r="L113" s="142"/>
      <c r="M113" s="142"/>
      <c r="N113" s="142"/>
      <c r="O113" s="142"/>
      <c r="P113" s="142"/>
      <c r="Q113" s="142"/>
      <c r="R113" s="142"/>
      <c r="S113" s="142"/>
      <c r="T113" s="142"/>
      <c r="U113" s="142"/>
      <c r="V113" s="142"/>
      <c r="W113" s="142"/>
      <c r="X113" s="142"/>
      <c r="Y113" s="142"/>
      <c r="Z113" s="142"/>
      <c r="AA113" s="142"/>
    </row>
    <row r="114">
      <c r="A114" s="142"/>
      <c r="B114" s="142" t="s">
        <v>3077</v>
      </c>
      <c r="C114" s="162" t="s">
        <v>3078</v>
      </c>
      <c r="D114" s="142"/>
      <c r="E114" s="141"/>
      <c r="F114" s="141">
        <v>159.0</v>
      </c>
      <c r="G114" s="142"/>
      <c r="H114" s="142"/>
      <c r="I114" s="142"/>
      <c r="J114" s="142"/>
      <c r="K114" s="142"/>
      <c r="L114" s="142"/>
      <c r="M114" s="142"/>
      <c r="N114" s="142"/>
      <c r="O114" s="142"/>
      <c r="P114" s="142"/>
      <c r="Q114" s="142"/>
      <c r="R114" s="142"/>
      <c r="S114" s="142"/>
      <c r="T114" s="142"/>
      <c r="U114" s="142"/>
      <c r="V114" s="142"/>
      <c r="W114" s="142"/>
      <c r="X114" s="142"/>
      <c r="Y114" s="142"/>
      <c r="Z114" s="142"/>
      <c r="AA114" s="142"/>
    </row>
    <row r="115">
      <c r="A115" s="142"/>
      <c r="B115" s="142" t="s">
        <v>3079</v>
      </c>
      <c r="C115" s="162" t="s">
        <v>3080</v>
      </c>
      <c r="D115" s="142"/>
      <c r="E115" s="141"/>
      <c r="F115" s="141">
        <v>150.0</v>
      </c>
      <c r="G115" s="142"/>
      <c r="H115" s="142"/>
      <c r="I115" s="142"/>
      <c r="J115" s="142"/>
      <c r="K115" s="142"/>
      <c r="L115" s="142"/>
      <c r="M115" s="142"/>
      <c r="N115" s="142"/>
      <c r="O115" s="142"/>
      <c r="P115" s="142"/>
      <c r="Q115" s="142"/>
      <c r="R115" s="142"/>
      <c r="S115" s="142"/>
      <c r="T115" s="142"/>
      <c r="U115" s="142"/>
      <c r="V115" s="142"/>
      <c r="W115" s="142"/>
      <c r="X115" s="142"/>
      <c r="Y115" s="142"/>
      <c r="Z115" s="142"/>
      <c r="AA115" s="142"/>
    </row>
    <row r="116">
      <c r="A116" s="142"/>
      <c r="B116" s="142" t="s">
        <v>3081</v>
      </c>
      <c r="C116" s="162" t="s">
        <v>3082</v>
      </c>
      <c r="D116" s="142" t="s">
        <v>2891</v>
      </c>
      <c r="E116" s="141" t="s">
        <v>2783</v>
      </c>
      <c r="F116" s="141" t="s">
        <v>3083</v>
      </c>
      <c r="G116" s="142"/>
      <c r="H116" s="142"/>
      <c r="I116" s="142"/>
      <c r="J116" s="142"/>
      <c r="K116" s="142"/>
      <c r="L116" s="142"/>
      <c r="M116" s="142"/>
      <c r="N116" s="142"/>
      <c r="O116" s="142"/>
      <c r="P116" s="142"/>
      <c r="Q116" s="142"/>
      <c r="R116" s="142"/>
      <c r="S116" s="142"/>
      <c r="T116" s="142"/>
      <c r="U116" s="142"/>
      <c r="V116" s="142"/>
      <c r="W116" s="142"/>
      <c r="X116" s="142"/>
      <c r="Y116" s="142"/>
      <c r="Z116" s="142"/>
      <c r="AA116" s="142"/>
    </row>
    <row r="117">
      <c r="A117" s="142"/>
      <c r="B117" s="142" t="s">
        <v>3084</v>
      </c>
      <c r="C117" s="162" t="s">
        <v>3085</v>
      </c>
      <c r="D117" s="142" t="s">
        <v>2891</v>
      </c>
      <c r="E117" s="141" t="s">
        <v>2810</v>
      </c>
      <c r="F117" s="141" t="s">
        <v>3086</v>
      </c>
      <c r="G117" s="142"/>
      <c r="H117" s="142"/>
      <c r="I117" s="142"/>
      <c r="J117" s="142"/>
      <c r="K117" s="142"/>
      <c r="L117" s="142"/>
      <c r="M117" s="142"/>
      <c r="N117" s="142"/>
      <c r="O117" s="142"/>
      <c r="P117" s="142"/>
      <c r="Q117" s="142"/>
      <c r="R117" s="142"/>
      <c r="S117" s="142"/>
      <c r="T117" s="142"/>
      <c r="U117" s="142"/>
      <c r="V117" s="142"/>
      <c r="W117" s="142"/>
      <c r="X117" s="142"/>
      <c r="Y117" s="142"/>
      <c r="Z117" s="142"/>
      <c r="AA117" s="142"/>
    </row>
    <row r="118">
      <c r="A118" s="142"/>
      <c r="B118" s="142" t="s">
        <v>3087</v>
      </c>
      <c r="C118" s="162" t="s">
        <v>3088</v>
      </c>
      <c r="D118" s="142"/>
      <c r="E118" s="141"/>
      <c r="F118" s="141" t="s">
        <v>3089</v>
      </c>
      <c r="G118" s="142"/>
      <c r="H118" s="142"/>
      <c r="I118" s="142"/>
      <c r="J118" s="142"/>
      <c r="K118" s="142"/>
      <c r="L118" s="142"/>
      <c r="M118" s="142"/>
      <c r="N118" s="142"/>
      <c r="O118" s="142"/>
      <c r="P118" s="142"/>
      <c r="Q118" s="142"/>
      <c r="R118" s="142"/>
      <c r="S118" s="142"/>
      <c r="T118" s="142"/>
      <c r="U118" s="142"/>
      <c r="V118" s="142"/>
      <c r="W118" s="142"/>
      <c r="X118" s="142"/>
      <c r="Y118" s="142"/>
      <c r="Z118" s="142"/>
      <c r="AA118" s="142"/>
    </row>
    <row r="119">
      <c r="A119" s="142"/>
      <c r="B119" s="142" t="s">
        <v>3090</v>
      </c>
      <c r="C119" s="162" t="s">
        <v>3091</v>
      </c>
      <c r="D119" s="142"/>
      <c r="E119" s="141"/>
      <c r="F119" s="141">
        <v>75.0</v>
      </c>
      <c r="G119" s="142"/>
      <c r="H119" s="142"/>
      <c r="I119" s="142"/>
      <c r="J119" s="142"/>
      <c r="K119" s="142"/>
      <c r="L119" s="142"/>
      <c r="M119" s="142"/>
      <c r="N119" s="142"/>
      <c r="O119" s="142"/>
      <c r="P119" s="142"/>
      <c r="Q119" s="142"/>
      <c r="R119" s="142"/>
      <c r="S119" s="142"/>
      <c r="T119" s="142"/>
      <c r="U119" s="142"/>
      <c r="V119" s="142"/>
      <c r="W119" s="142"/>
      <c r="X119" s="142"/>
      <c r="Y119" s="142"/>
      <c r="Z119" s="142"/>
      <c r="AA119" s="142"/>
    </row>
    <row r="120">
      <c r="A120" s="142"/>
      <c r="B120" s="142" t="s">
        <v>3092</v>
      </c>
      <c r="C120" s="162" t="s">
        <v>3093</v>
      </c>
      <c r="D120" s="142"/>
      <c r="E120" s="141"/>
      <c r="F120" s="141">
        <v>43.0</v>
      </c>
      <c r="G120" s="142"/>
      <c r="H120" s="142"/>
      <c r="I120" s="142"/>
      <c r="J120" s="142"/>
      <c r="K120" s="142"/>
      <c r="L120" s="142"/>
      <c r="M120" s="142"/>
      <c r="N120" s="142"/>
      <c r="O120" s="142"/>
      <c r="P120" s="142"/>
      <c r="Q120" s="142"/>
      <c r="R120" s="142"/>
      <c r="S120" s="142"/>
      <c r="T120" s="142"/>
      <c r="U120" s="142"/>
      <c r="V120" s="142"/>
      <c r="W120" s="142"/>
      <c r="X120" s="142"/>
      <c r="Y120" s="142"/>
      <c r="Z120" s="142"/>
      <c r="AA120" s="142"/>
    </row>
    <row r="121">
      <c r="A121" s="142"/>
      <c r="B121" s="142" t="s">
        <v>3094</v>
      </c>
      <c r="C121" s="162" t="s">
        <v>3095</v>
      </c>
      <c r="D121" s="142"/>
      <c r="E121" s="141"/>
      <c r="F121" s="141" t="s">
        <v>3096</v>
      </c>
      <c r="G121" s="142"/>
      <c r="H121" s="142"/>
      <c r="I121" s="142"/>
      <c r="J121" s="142"/>
      <c r="K121" s="142"/>
      <c r="L121" s="142"/>
      <c r="M121" s="142"/>
      <c r="N121" s="142"/>
      <c r="O121" s="142"/>
      <c r="P121" s="142"/>
      <c r="Q121" s="142"/>
      <c r="R121" s="142"/>
      <c r="S121" s="142"/>
      <c r="T121" s="142"/>
      <c r="U121" s="142"/>
      <c r="V121" s="142"/>
      <c r="W121" s="142"/>
      <c r="X121" s="142"/>
      <c r="Y121" s="142"/>
      <c r="Z121" s="142"/>
      <c r="AA121" s="142"/>
    </row>
    <row r="122">
      <c r="A122" s="142"/>
      <c r="B122" s="142" t="s">
        <v>3097</v>
      </c>
      <c r="C122" s="162" t="s">
        <v>3098</v>
      </c>
      <c r="D122" s="142"/>
      <c r="E122" s="141"/>
      <c r="F122" s="141" t="s">
        <v>3099</v>
      </c>
      <c r="G122" s="142"/>
      <c r="H122" s="142"/>
      <c r="I122" s="142"/>
      <c r="J122" s="142"/>
      <c r="K122" s="142"/>
      <c r="L122" s="142"/>
      <c r="M122" s="142"/>
      <c r="N122" s="142"/>
      <c r="O122" s="142"/>
      <c r="P122" s="142"/>
      <c r="Q122" s="142"/>
      <c r="R122" s="142"/>
      <c r="S122" s="142"/>
      <c r="T122" s="142"/>
      <c r="U122" s="142"/>
      <c r="V122" s="142"/>
      <c r="W122" s="142"/>
      <c r="X122" s="142"/>
      <c r="Y122" s="142"/>
      <c r="Z122" s="142"/>
      <c r="AA122" s="142"/>
    </row>
    <row r="123">
      <c r="A123" s="142"/>
      <c r="B123" s="142" t="s">
        <v>3100</v>
      </c>
      <c r="C123" s="162" t="s">
        <v>3101</v>
      </c>
      <c r="D123" s="142"/>
      <c r="E123" s="141"/>
      <c r="F123" s="141">
        <v>174.0</v>
      </c>
      <c r="G123" s="142"/>
      <c r="H123" s="142"/>
      <c r="I123" s="142"/>
      <c r="J123" s="142"/>
      <c r="K123" s="142"/>
      <c r="L123" s="142"/>
      <c r="M123" s="142"/>
      <c r="N123" s="142"/>
      <c r="O123" s="142"/>
      <c r="P123" s="142"/>
      <c r="Q123" s="142"/>
      <c r="R123" s="142"/>
      <c r="S123" s="142"/>
      <c r="T123" s="142"/>
      <c r="U123" s="142"/>
      <c r="V123" s="142"/>
      <c r="W123" s="142"/>
      <c r="X123" s="142"/>
      <c r="Y123" s="142"/>
      <c r="Z123" s="142"/>
      <c r="AA123" s="142"/>
    </row>
    <row r="124">
      <c r="A124" s="155" t="s">
        <v>81</v>
      </c>
      <c r="B124" s="142" t="s">
        <v>3102</v>
      </c>
      <c r="C124" s="162" t="s">
        <v>3103</v>
      </c>
      <c r="D124" s="142"/>
      <c r="E124" s="141"/>
      <c r="F124" s="141" t="s">
        <v>2905</v>
      </c>
      <c r="G124" s="142"/>
      <c r="H124" s="142"/>
      <c r="I124" s="142"/>
      <c r="J124" s="142"/>
      <c r="K124" s="142"/>
      <c r="L124" s="142"/>
      <c r="M124" s="142"/>
      <c r="N124" s="142"/>
      <c r="O124" s="142"/>
      <c r="P124" s="142"/>
      <c r="Q124" s="142"/>
      <c r="R124" s="142"/>
      <c r="S124" s="142"/>
      <c r="T124" s="142"/>
      <c r="U124" s="142"/>
      <c r="V124" s="142"/>
      <c r="W124" s="142"/>
      <c r="X124" s="142"/>
      <c r="Y124" s="142"/>
      <c r="Z124" s="142"/>
      <c r="AA124" s="142"/>
    </row>
    <row r="125">
      <c r="A125" s="142"/>
      <c r="B125" s="142" t="s">
        <v>3104</v>
      </c>
      <c r="C125" s="162" t="s">
        <v>3105</v>
      </c>
      <c r="D125" s="142" t="s">
        <v>2829</v>
      </c>
      <c r="E125" s="141" t="s">
        <v>2783</v>
      </c>
      <c r="F125" s="141" t="s">
        <v>3106</v>
      </c>
      <c r="G125" s="142"/>
      <c r="H125" s="142"/>
      <c r="I125" s="142"/>
      <c r="J125" s="142"/>
      <c r="K125" s="142"/>
      <c r="L125" s="142"/>
      <c r="M125" s="142"/>
      <c r="N125" s="142"/>
      <c r="O125" s="142"/>
      <c r="P125" s="142"/>
      <c r="Q125" s="142"/>
      <c r="R125" s="142"/>
      <c r="S125" s="142"/>
      <c r="T125" s="142"/>
      <c r="U125" s="142"/>
      <c r="V125" s="142"/>
      <c r="W125" s="142"/>
      <c r="X125" s="142"/>
      <c r="Y125" s="142"/>
      <c r="Z125" s="142"/>
      <c r="AA125" s="142"/>
    </row>
    <row r="126">
      <c r="A126" s="142"/>
      <c r="B126" s="142" t="s">
        <v>3107</v>
      </c>
      <c r="C126" s="162" t="s">
        <v>3108</v>
      </c>
      <c r="D126" s="142"/>
      <c r="E126" s="141"/>
      <c r="F126" s="141">
        <v>124.0</v>
      </c>
      <c r="G126" s="142"/>
      <c r="H126" s="142"/>
      <c r="I126" s="142"/>
      <c r="J126" s="142"/>
      <c r="K126" s="142"/>
      <c r="L126" s="142"/>
      <c r="M126" s="142"/>
      <c r="N126" s="142"/>
      <c r="O126" s="142"/>
      <c r="P126" s="142"/>
      <c r="Q126" s="142"/>
      <c r="R126" s="142"/>
      <c r="S126" s="142"/>
      <c r="T126" s="142"/>
      <c r="U126" s="142"/>
      <c r="V126" s="142"/>
      <c r="W126" s="142"/>
      <c r="X126" s="142"/>
      <c r="Y126" s="142"/>
      <c r="Z126" s="142"/>
      <c r="AA126" s="142"/>
    </row>
    <row r="127">
      <c r="A127" s="142"/>
      <c r="B127" s="142" t="s">
        <v>3109</v>
      </c>
      <c r="C127" s="162" t="s">
        <v>3110</v>
      </c>
      <c r="D127" s="142" t="s">
        <v>2933</v>
      </c>
      <c r="E127" s="141" t="s">
        <v>2814</v>
      </c>
      <c r="F127" s="141" t="s">
        <v>3111</v>
      </c>
      <c r="G127" s="142"/>
      <c r="H127" s="142"/>
      <c r="I127" s="142"/>
      <c r="J127" s="142"/>
      <c r="K127" s="142"/>
      <c r="L127" s="142"/>
      <c r="M127" s="142"/>
      <c r="N127" s="142"/>
      <c r="O127" s="142"/>
      <c r="P127" s="142"/>
      <c r="Q127" s="142"/>
      <c r="R127" s="142"/>
      <c r="S127" s="142"/>
      <c r="T127" s="142"/>
      <c r="U127" s="142"/>
      <c r="V127" s="142"/>
      <c r="W127" s="142"/>
      <c r="X127" s="142"/>
      <c r="Y127" s="142"/>
      <c r="Z127" s="142"/>
      <c r="AA127" s="142"/>
    </row>
    <row r="128">
      <c r="A128" s="142"/>
      <c r="B128" s="142" t="s">
        <v>3112</v>
      </c>
      <c r="C128" s="162" t="s">
        <v>3113</v>
      </c>
      <c r="D128" s="142"/>
      <c r="E128" s="141"/>
      <c r="F128" s="141">
        <v>47.0</v>
      </c>
      <c r="G128" s="142"/>
      <c r="H128" s="142"/>
      <c r="I128" s="142"/>
      <c r="J128" s="142"/>
      <c r="K128" s="142"/>
      <c r="L128" s="142"/>
      <c r="M128" s="142"/>
      <c r="N128" s="142"/>
      <c r="O128" s="142"/>
      <c r="P128" s="142"/>
      <c r="Q128" s="142"/>
      <c r="R128" s="142"/>
      <c r="S128" s="142"/>
      <c r="T128" s="142"/>
      <c r="U128" s="142"/>
      <c r="V128" s="142"/>
      <c r="W128" s="142"/>
      <c r="X128" s="142"/>
      <c r="Y128" s="142"/>
      <c r="Z128" s="142"/>
      <c r="AA128" s="142"/>
    </row>
    <row r="129">
      <c r="A129" s="142"/>
      <c r="B129" s="142" t="s">
        <v>3114</v>
      </c>
      <c r="C129" s="162" t="s">
        <v>3115</v>
      </c>
      <c r="D129" s="142"/>
      <c r="E129" s="141"/>
      <c r="F129" s="141" t="s">
        <v>3116</v>
      </c>
      <c r="G129" s="142"/>
      <c r="H129" s="142"/>
      <c r="I129" s="142"/>
      <c r="J129" s="142"/>
      <c r="K129" s="142"/>
      <c r="L129" s="142"/>
      <c r="M129" s="142"/>
      <c r="N129" s="142"/>
      <c r="O129" s="142"/>
      <c r="P129" s="142"/>
      <c r="Q129" s="142"/>
      <c r="R129" s="142"/>
      <c r="S129" s="142"/>
      <c r="T129" s="142"/>
      <c r="U129" s="142"/>
      <c r="V129" s="142"/>
      <c r="W129" s="142"/>
      <c r="X129" s="142"/>
      <c r="Y129" s="142"/>
      <c r="Z129" s="142"/>
      <c r="AA129" s="142"/>
    </row>
    <row r="130">
      <c r="A130" s="142"/>
      <c r="B130" s="142" t="s">
        <v>3117</v>
      </c>
      <c r="C130" s="162" t="s">
        <v>3118</v>
      </c>
      <c r="D130" s="142"/>
      <c r="E130" s="141"/>
      <c r="F130" s="141" t="s">
        <v>3119</v>
      </c>
      <c r="G130" s="142"/>
      <c r="H130" s="142"/>
      <c r="I130" s="142"/>
      <c r="J130" s="142"/>
      <c r="K130" s="142"/>
      <c r="L130" s="142"/>
      <c r="M130" s="142"/>
      <c r="N130" s="142"/>
      <c r="O130" s="142"/>
      <c r="P130" s="142"/>
      <c r="Q130" s="142"/>
      <c r="R130" s="142"/>
      <c r="S130" s="142"/>
      <c r="T130" s="142"/>
      <c r="U130" s="142"/>
      <c r="V130" s="142"/>
      <c r="W130" s="142"/>
      <c r="X130" s="142"/>
      <c r="Y130" s="142"/>
      <c r="Z130" s="142"/>
      <c r="AA130" s="142"/>
    </row>
    <row r="131">
      <c r="A131" s="155" t="s">
        <v>88</v>
      </c>
      <c r="B131" s="142" t="s">
        <v>3120</v>
      </c>
      <c r="C131" s="162" t="s">
        <v>3121</v>
      </c>
      <c r="D131" s="142"/>
      <c r="E131" s="141"/>
      <c r="F131" s="141" t="s">
        <v>3122</v>
      </c>
      <c r="G131" s="142"/>
      <c r="H131" s="142"/>
      <c r="I131" s="142"/>
      <c r="J131" s="142"/>
      <c r="K131" s="142"/>
      <c r="L131" s="142"/>
      <c r="M131" s="142"/>
      <c r="N131" s="142"/>
      <c r="O131" s="142"/>
      <c r="P131" s="142"/>
      <c r="Q131" s="142"/>
      <c r="R131" s="142"/>
      <c r="S131" s="142"/>
      <c r="T131" s="142"/>
      <c r="U131" s="142"/>
      <c r="V131" s="142"/>
      <c r="W131" s="142"/>
      <c r="X131" s="142"/>
      <c r="Y131" s="142"/>
      <c r="Z131" s="142"/>
      <c r="AA131" s="142"/>
    </row>
    <row r="132">
      <c r="A132" s="142"/>
      <c r="B132" s="142" t="s">
        <v>3123</v>
      </c>
      <c r="C132" s="162" t="s">
        <v>3124</v>
      </c>
      <c r="D132" s="142"/>
      <c r="E132" s="141"/>
      <c r="F132" s="141">
        <v>124.0</v>
      </c>
      <c r="G132" s="142"/>
      <c r="H132" s="142"/>
      <c r="I132" s="142"/>
      <c r="J132" s="142"/>
      <c r="K132" s="142"/>
      <c r="L132" s="142"/>
      <c r="M132" s="142"/>
      <c r="N132" s="142"/>
      <c r="O132" s="142"/>
      <c r="P132" s="142"/>
      <c r="Q132" s="142"/>
      <c r="R132" s="142"/>
      <c r="S132" s="142"/>
      <c r="T132" s="142"/>
      <c r="U132" s="142"/>
      <c r="V132" s="142"/>
      <c r="W132" s="142"/>
      <c r="X132" s="142"/>
      <c r="Y132" s="142"/>
      <c r="Z132" s="142"/>
      <c r="AA132" s="142"/>
    </row>
    <row r="133">
      <c r="A133" s="142"/>
      <c r="B133" s="142" t="s">
        <v>3125</v>
      </c>
      <c r="C133" s="162" t="s">
        <v>3126</v>
      </c>
      <c r="D133" s="142"/>
      <c r="E133" s="141"/>
      <c r="F133" s="141" t="s">
        <v>2948</v>
      </c>
      <c r="G133" s="142"/>
      <c r="H133" s="142"/>
      <c r="I133" s="142"/>
      <c r="J133" s="142"/>
      <c r="K133" s="142"/>
      <c r="L133" s="142"/>
      <c r="M133" s="142"/>
      <c r="N133" s="142"/>
      <c r="O133" s="142"/>
      <c r="P133" s="142"/>
      <c r="Q133" s="142"/>
      <c r="R133" s="142"/>
      <c r="S133" s="142"/>
      <c r="T133" s="142"/>
      <c r="U133" s="142"/>
      <c r="V133" s="142"/>
      <c r="W133" s="142"/>
      <c r="X133" s="142"/>
      <c r="Y133" s="142"/>
      <c r="Z133" s="142"/>
      <c r="AA133" s="142"/>
    </row>
    <row r="134">
      <c r="A134" s="142"/>
      <c r="B134" s="142" t="s">
        <v>3127</v>
      </c>
      <c r="C134" s="162" t="s">
        <v>3128</v>
      </c>
      <c r="D134" s="142"/>
      <c r="E134" s="141"/>
      <c r="F134" s="141">
        <v>43.0</v>
      </c>
      <c r="G134" s="142"/>
      <c r="H134" s="142"/>
      <c r="I134" s="142"/>
      <c r="J134" s="142"/>
      <c r="K134" s="142"/>
      <c r="L134" s="142"/>
      <c r="M134" s="142"/>
      <c r="N134" s="142"/>
      <c r="O134" s="142"/>
      <c r="P134" s="142"/>
      <c r="Q134" s="142"/>
      <c r="R134" s="142"/>
      <c r="S134" s="142"/>
      <c r="T134" s="142"/>
      <c r="U134" s="142"/>
      <c r="V134" s="142"/>
      <c r="W134" s="142"/>
      <c r="X134" s="142"/>
      <c r="Y134" s="142"/>
      <c r="Z134" s="142"/>
      <c r="AA134" s="142"/>
    </row>
    <row r="135">
      <c r="A135" s="142"/>
      <c r="B135" s="142" t="s">
        <v>3129</v>
      </c>
      <c r="C135" s="162" t="s">
        <v>3130</v>
      </c>
      <c r="D135" s="142"/>
      <c r="E135" s="141"/>
      <c r="F135" s="141">
        <v>163.0</v>
      </c>
      <c r="G135" s="142"/>
      <c r="H135" s="142"/>
      <c r="I135" s="142"/>
      <c r="J135" s="142"/>
      <c r="K135" s="142"/>
      <c r="L135" s="142"/>
      <c r="M135" s="142"/>
      <c r="N135" s="142"/>
      <c r="O135" s="142"/>
      <c r="P135" s="142"/>
      <c r="Q135" s="142"/>
      <c r="R135" s="142"/>
      <c r="S135" s="142"/>
      <c r="T135" s="142"/>
      <c r="U135" s="142"/>
      <c r="V135" s="142"/>
      <c r="W135" s="142"/>
      <c r="X135" s="142"/>
      <c r="Y135" s="142"/>
      <c r="Z135" s="142"/>
      <c r="AA135" s="142"/>
    </row>
    <row r="136">
      <c r="A136" s="142"/>
      <c r="B136" s="142" t="s">
        <v>3131</v>
      </c>
      <c r="C136" s="162" t="s">
        <v>3132</v>
      </c>
      <c r="D136" s="142" t="s">
        <v>2796</v>
      </c>
      <c r="E136" s="141" t="s">
        <v>2814</v>
      </c>
      <c r="F136" s="141" t="s">
        <v>3133</v>
      </c>
      <c r="G136" s="142"/>
      <c r="H136" s="142"/>
      <c r="I136" s="142"/>
      <c r="J136" s="142"/>
      <c r="K136" s="142"/>
      <c r="L136" s="142"/>
      <c r="M136" s="142"/>
      <c r="N136" s="142"/>
      <c r="O136" s="142"/>
      <c r="P136" s="142"/>
      <c r="Q136" s="142"/>
      <c r="R136" s="142"/>
      <c r="S136" s="142"/>
      <c r="T136" s="142"/>
      <c r="U136" s="142"/>
      <c r="V136" s="142"/>
      <c r="W136" s="142"/>
      <c r="X136" s="142"/>
      <c r="Y136" s="142"/>
      <c r="Z136" s="142"/>
      <c r="AA136" s="142"/>
    </row>
    <row r="137">
      <c r="A137" s="142"/>
      <c r="B137" s="142" t="s">
        <v>3134</v>
      </c>
      <c r="C137" s="162" t="s">
        <v>3135</v>
      </c>
      <c r="D137" s="142"/>
      <c r="E137" s="141"/>
      <c r="F137" s="141">
        <v>45.0</v>
      </c>
      <c r="G137" s="142"/>
      <c r="H137" s="142"/>
      <c r="I137" s="142"/>
      <c r="J137" s="142"/>
      <c r="K137" s="142"/>
      <c r="L137" s="142"/>
      <c r="M137" s="142"/>
      <c r="N137" s="142"/>
      <c r="O137" s="142"/>
      <c r="P137" s="142"/>
      <c r="Q137" s="142"/>
      <c r="R137" s="142"/>
      <c r="S137" s="142"/>
      <c r="T137" s="142"/>
      <c r="U137" s="142"/>
      <c r="V137" s="142"/>
      <c r="W137" s="142"/>
      <c r="X137" s="142"/>
      <c r="Y137" s="142"/>
      <c r="Z137" s="142"/>
      <c r="AA137" s="142"/>
    </row>
    <row r="138">
      <c r="A138" s="142"/>
      <c r="B138" s="142" t="s">
        <v>3136</v>
      </c>
      <c r="C138" s="162" t="s">
        <v>3137</v>
      </c>
      <c r="D138" s="142"/>
      <c r="E138" s="141"/>
      <c r="F138" s="141" t="s">
        <v>3089</v>
      </c>
      <c r="G138" s="142"/>
      <c r="H138" s="142"/>
      <c r="I138" s="142"/>
      <c r="J138" s="142"/>
      <c r="K138" s="142"/>
      <c r="L138" s="142"/>
      <c r="M138" s="142"/>
      <c r="N138" s="142"/>
      <c r="O138" s="142"/>
      <c r="P138" s="142"/>
      <c r="Q138" s="142"/>
      <c r="R138" s="142"/>
      <c r="S138" s="142"/>
      <c r="T138" s="142"/>
      <c r="U138" s="142"/>
      <c r="V138" s="142"/>
      <c r="W138" s="142"/>
      <c r="X138" s="142"/>
      <c r="Y138" s="142"/>
      <c r="Z138" s="142"/>
      <c r="AA138" s="142"/>
    </row>
    <row r="139">
      <c r="A139" s="142"/>
      <c r="B139" s="142" t="s">
        <v>3138</v>
      </c>
      <c r="C139" s="162" t="s">
        <v>3139</v>
      </c>
      <c r="D139" s="142"/>
      <c r="E139" s="141"/>
      <c r="F139" s="141">
        <v>87.0</v>
      </c>
      <c r="G139" s="142"/>
      <c r="H139" s="142"/>
      <c r="I139" s="142"/>
      <c r="J139" s="142"/>
      <c r="K139" s="142"/>
      <c r="L139" s="142"/>
      <c r="M139" s="142"/>
      <c r="N139" s="142"/>
      <c r="O139" s="142"/>
      <c r="P139" s="142"/>
      <c r="Q139" s="142"/>
      <c r="R139" s="142"/>
      <c r="S139" s="142"/>
      <c r="T139" s="142"/>
      <c r="U139" s="142"/>
      <c r="V139" s="142"/>
      <c r="W139" s="142"/>
      <c r="X139" s="142"/>
      <c r="Y139" s="142"/>
      <c r="Z139" s="142"/>
      <c r="AA139" s="142"/>
    </row>
    <row r="140">
      <c r="A140" s="142"/>
      <c r="B140" s="142" t="s">
        <v>3140</v>
      </c>
      <c r="C140" s="162" t="s">
        <v>3141</v>
      </c>
      <c r="D140" s="142"/>
      <c r="E140" s="141"/>
      <c r="F140" s="141">
        <v>169.0</v>
      </c>
      <c r="G140" s="142"/>
      <c r="H140" s="142"/>
      <c r="I140" s="142"/>
      <c r="J140" s="142"/>
      <c r="K140" s="142"/>
      <c r="L140" s="142"/>
      <c r="M140" s="142"/>
      <c r="N140" s="142"/>
      <c r="O140" s="142"/>
      <c r="P140" s="142"/>
      <c r="Q140" s="142"/>
      <c r="R140" s="142"/>
      <c r="S140" s="142"/>
      <c r="T140" s="142"/>
      <c r="U140" s="142"/>
      <c r="V140" s="142"/>
      <c r="W140" s="142"/>
      <c r="X140" s="142"/>
      <c r="Y140" s="142"/>
      <c r="Z140" s="142"/>
      <c r="AA140" s="142"/>
    </row>
    <row r="141">
      <c r="A141" s="142"/>
      <c r="B141" s="142" t="s">
        <v>3142</v>
      </c>
      <c r="C141" s="162" t="s">
        <v>3143</v>
      </c>
      <c r="D141" s="142" t="s">
        <v>2829</v>
      </c>
      <c r="E141" s="141" t="s">
        <v>2797</v>
      </c>
      <c r="F141" s="141" t="s">
        <v>3144</v>
      </c>
      <c r="G141" s="142"/>
      <c r="H141" s="142"/>
      <c r="I141" s="142"/>
      <c r="J141" s="142"/>
      <c r="K141" s="142"/>
      <c r="L141" s="142"/>
      <c r="M141" s="142"/>
      <c r="N141" s="142"/>
      <c r="O141" s="142"/>
      <c r="P141" s="142"/>
      <c r="Q141" s="142"/>
      <c r="R141" s="142"/>
      <c r="S141" s="142"/>
      <c r="T141" s="142"/>
      <c r="U141" s="142"/>
      <c r="V141" s="142"/>
      <c r="W141" s="142"/>
      <c r="X141" s="142"/>
      <c r="Y141" s="142"/>
      <c r="Z141" s="142"/>
      <c r="AA141" s="14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9.63"/>
  </cols>
  <sheetData>
    <row r="1">
      <c r="A1" s="1" t="s">
        <v>0</v>
      </c>
      <c r="B1" s="1" t="s">
        <v>406</v>
      </c>
      <c r="C1" s="159" t="s">
        <v>612</v>
      </c>
      <c r="D1" s="1" t="s">
        <v>3145</v>
      </c>
      <c r="E1" s="5"/>
      <c r="F1" s="5"/>
      <c r="G1" s="5"/>
      <c r="H1" s="5"/>
      <c r="I1" s="5"/>
      <c r="J1" s="5"/>
      <c r="K1" s="5"/>
      <c r="L1" s="5"/>
      <c r="M1" s="5"/>
      <c r="N1" s="5"/>
      <c r="O1" s="5"/>
      <c r="P1" s="5"/>
      <c r="Q1" s="5"/>
      <c r="R1" s="5"/>
      <c r="S1" s="5"/>
      <c r="T1" s="5"/>
      <c r="U1" s="5"/>
      <c r="V1" s="5"/>
      <c r="W1" s="5"/>
      <c r="X1" s="5"/>
      <c r="Y1" s="5"/>
      <c r="Z1" s="5"/>
      <c r="AA1" s="5"/>
      <c r="AB1" s="5"/>
    </row>
    <row r="2">
      <c r="A2" s="7" t="s">
        <v>22</v>
      </c>
      <c r="B2" s="7" t="s">
        <v>3146</v>
      </c>
      <c r="C2" s="139" t="s">
        <v>637</v>
      </c>
      <c r="D2" s="7" t="s">
        <v>3147</v>
      </c>
    </row>
    <row r="3">
      <c r="A3" s="7" t="s">
        <v>22</v>
      </c>
      <c r="B3" s="7" t="s">
        <v>2832</v>
      </c>
      <c r="C3" s="139" t="s">
        <v>633</v>
      </c>
      <c r="D3" s="7" t="s">
        <v>3148</v>
      </c>
    </row>
    <row r="4">
      <c r="A4" s="7" t="s">
        <v>25</v>
      </c>
      <c r="B4" s="142" t="s">
        <v>3149</v>
      </c>
      <c r="C4" s="142" t="s">
        <v>1152</v>
      </c>
      <c r="D4" s="142" t="s">
        <v>3150</v>
      </c>
    </row>
    <row r="5">
      <c r="A5" s="7" t="s">
        <v>25</v>
      </c>
      <c r="B5" s="142" t="s">
        <v>3151</v>
      </c>
      <c r="C5" s="142" t="s">
        <v>1145</v>
      </c>
      <c r="D5" s="142" t="s">
        <v>3152</v>
      </c>
    </row>
    <row r="6">
      <c r="A6" s="7" t="s">
        <v>43</v>
      </c>
      <c r="B6" s="142" t="s">
        <v>3146</v>
      </c>
      <c r="C6" s="142" t="s">
        <v>1125</v>
      </c>
      <c r="D6" s="142" t="s">
        <v>3153</v>
      </c>
    </row>
    <row r="7">
      <c r="A7" s="7" t="s">
        <v>43</v>
      </c>
      <c r="B7" s="142" t="s">
        <v>3146</v>
      </c>
      <c r="C7" s="142" t="s">
        <v>1165</v>
      </c>
      <c r="D7" s="142" t="s">
        <v>3153</v>
      </c>
    </row>
    <row r="8">
      <c r="A8" s="7" t="s">
        <v>51</v>
      </c>
      <c r="B8" s="142" t="s">
        <v>3151</v>
      </c>
      <c r="C8" s="139" t="s">
        <v>633</v>
      </c>
      <c r="D8" s="142" t="s">
        <v>3154</v>
      </c>
    </row>
    <row r="9">
      <c r="A9" s="7" t="s">
        <v>51</v>
      </c>
      <c r="B9" s="142" t="s">
        <v>3155</v>
      </c>
      <c r="C9" s="139" t="s">
        <v>633</v>
      </c>
      <c r="D9" s="142" t="s">
        <v>3156</v>
      </c>
    </row>
    <row r="10">
      <c r="C10" s="142"/>
    </row>
    <row r="11">
      <c r="C11" s="142"/>
    </row>
    <row r="12">
      <c r="C12" s="142"/>
    </row>
    <row r="13">
      <c r="C13" s="142"/>
    </row>
    <row r="14">
      <c r="C14" s="142"/>
    </row>
    <row r="15">
      <c r="C15" s="142"/>
    </row>
    <row r="16">
      <c r="C16" s="142"/>
    </row>
    <row r="17">
      <c r="C17" s="142"/>
    </row>
    <row r="18">
      <c r="C18" s="142"/>
    </row>
    <row r="19">
      <c r="C19" s="142"/>
    </row>
    <row r="20">
      <c r="C20" s="142"/>
    </row>
    <row r="21">
      <c r="C21" s="142"/>
    </row>
    <row r="22">
      <c r="C22" s="142"/>
    </row>
    <row r="23">
      <c r="C23" s="142"/>
    </row>
    <row r="24">
      <c r="C24" s="142"/>
    </row>
    <row r="25">
      <c r="C25" s="142"/>
    </row>
    <row r="26">
      <c r="C26" s="142"/>
    </row>
    <row r="27">
      <c r="C27" s="142"/>
    </row>
    <row r="28">
      <c r="C28" s="142"/>
    </row>
    <row r="29">
      <c r="C29" s="142"/>
    </row>
    <row r="30">
      <c r="C30" s="142"/>
    </row>
    <row r="31">
      <c r="C31" s="142"/>
    </row>
    <row r="32">
      <c r="C32" s="142"/>
    </row>
    <row r="33">
      <c r="C33" s="142"/>
    </row>
    <row r="34">
      <c r="C34" s="142"/>
    </row>
    <row r="35">
      <c r="C35" s="142"/>
    </row>
    <row r="36">
      <c r="C36" s="142"/>
    </row>
    <row r="37">
      <c r="C37" s="142"/>
    </row>
    <row r="38">
      <c r="C38" s="142"/>
    </row>
    <row r="39">
      <c r="C39" s="142"/>
    </row>
    <row r="40">
      <c r="C40" s="142"/>
    </row>
    <row r="41">
      <c r="C41" s="142"/>
    </row>
    <row r="42">
      <c r="C42" s="142"/>
    </row>
    <row r="43">
      <c r="C43" s="142"/>
    </row>
    <row r="44">
      <c r="C44" s="142"/>
    </row>
    <row r="45">
      <c r="C45" s="142"/>
    </row>
    <row r="46">
      <c r="C46" s="142"/>
    </row>
    <row r="47">
      <c r="C47" s="142"/>
    </row>
    <row r="48">
      <c r="C48" s="142"/>
    </row>
    <row r="49">
      <c r="C49" s="142"/>
    </row>
    <row r="50">
      <c r="C50" s="142"/>
    </row>
    <row r="51">
      <c r="C51" s="142"/>
    </row>
    <row r="52">
      <c r="C52" s="142"/>
    </row>
    <row r="53">
      <c r="C53" s="142"/>
    </row>
    <row r="54">
      <c r="C54" s="142"/>
    </row>
    <row r="55">
      <c r="C55" s="142"/>
    </row>
    <row r="56">
      <c r="C56" s="142"/>
    </row>
    <row r="57">
      <c r="C57" s="142"/>
    </row>
    <row r="58">
      <c r="C58" s="142"/>
    </row>
    <row r="59">
      <c r="C59" s="142"/>
    </row>
    <row r="60">
      <c r="C60" s="142"/>
    </row>
    <row r="61">
      <c r="C61" s="142"/>
    </row>
    <row r="62">
      <c r="C62" s="142"/>
    </row>
    <row r="63">
      <c r="C63" s="142"/>
    </row>
    <row r="64">
      <c r="C64" s="142"/>
    </row>
    <row r="65">
      <c r="C65" s="142"/>
    </row>
    <row r="66">
      <c r="C66" s="142"/>
    </row>
    <row r="67">
      <c r="C67" s="142"/>
    </row>
    <row r="68">
      <c r="C68" s="142"/>
    </row>
    <row r="69">
      <c r="C69" s="142"/>
    </row>
    <row r="70">
      <c r="C70" s="142"/>
    </row>
    <row r="71">
      <c r="C71" s="142"/>
    </row>
    <row r="72">
      <c r="C72" s="142"/>
    </row>
    <row r="73">
      <c r="C73" s="142"/>
    </row>
    <row r="74">
      <c r="C74" s="142"/>
    </row>
    <row r="75">
      <c r="C75" s="142"/>
    </row>
    <row r="76">
      <c r="C76" s="142"/>
    </row>
    <row r="77">
      <c r="C77" s="142"/>
    </row>
    <row r="78">
      <c r="C78" s="142"/>
    </row>
    <row r="79">
      <c r="C79" s="142"/>
    </row>
    <row r="80">
      <c r="C80" s="142"/>
    </row>
    <row r="81">
      <c r="C81" s="142"/>
    </row>
    <row r="82">
      <c r="C82" s="142"/>
    </row>
    <row r="83">
      <c r="C83" s="142"/>
    </row>
    <row r="84">
      <c r="C84" s="142"/>
    </row>
    <row r="85">
      <c r="C85" s="142"/>
    </row>
    <row r="86">
      <c r="C86" s="142"/>
    </row>
    <row r="87">
      <c r="C87" s="142"/>
    </row>
    <row r="88">
      <c r="C88" s="142"/>
    </row>
    <row r="89">
      <c r="C89" s="142"/>
    </row>
    <row r="90">
      <c r="C90" s="142"/>
    </row>
    <row r="91">
      <c r="C91" s="142"/>
    </row>
    <row r="92">
      <c r="C92" s="142"/>
    </row>
    <row r="93">
      <c r="C93" s="142"/>
    </row>
    <row r="94">
      <c r="C94" s="142"/>
    </row>
    <row r="95">
      <c r="C95" s="142"/>
    </row>
    <row r="96">
      <c r="C96" s="142"/>
    </row>
    <row r="97">
      <c r="C97" s="142"/>
    </row>
    <row r="98">
      <c r="C98" s="142"/>
    </row>
    <row r="99">
      <c r="C99" s="142"/>
    </row>
    <row r="100">
      <c r="C100" s="142"/>
    </row>
    <row r="101">
      <c r="C101" s="142"/>
    </row>
    <row r="102">
      <c r="C102" s="142"/>
    </row>
    <row r="103">
      <c r="C103" s="142"/>
    </row>
    <row r="104">
      <c r="C104" s="142"/>
    </row>
    <row r="105">
      <c r="C105" s="142"/>
    </row>
    <row r="106">
      <c r="C106" s="142"/>
    </row>
    <row r="107">
      <c r="C107" s="142"/>
    </row>
    <row r="108">
      <c r="C108" s="142"/>
    </row>
    <row r="109">
      <c r="C109" s="142"/>
    </row>
    <row r="110">
      <c r="C110" s="142"/>
    </row>
    <row r="111">
      <c r="C111" s="142"/>
    </row>
    <row r="112">
      <c r="C112" s="142"/>
    </row>
    <row r="113">
      <c r="C113" s="142"/>
    </row>
    <row r="114">
      <c r="C114" s="142"/>
    </row>
    <row r="115">
      <c r="C115" s="142"/>
    </row>
    <row r="116">
      <c r="C116" s="142"/>
    </row>
    <row r="117">
      <c r="C117" s="142"/>
    </row>
    <row r="118">
      <c r="C118" s="142"/>
    </row>
    <row r="119">
      <c r="C119" s="142"/>
    </row>
    <row r="120">
      <c r="C120" s="142"/>
    </row>
    <row r="121">
      <c r="C121" s="142"/>
    </row>
    <row r="122">
      <c r="C122" s="142"/>
    </row>
    <row r="123">
      <c r="C123" s="142"/>
    </row>
    <row r="124">
      <c r="C124" s="142"/>
    </row>
    <row r="125">
      <c r="C125" s="142"/>
    </row>
    <row r="126">
      <c r="C126" s="142"/>
    </row>
    <row r="127">
      <c r="C127" s="142"/>
    </row>
    <row r="128">
      <c r="C128" s="142"/>
    </row>
    <row r="129">
      <c r="C129" s="142"/>
    </row>
    <row r="130">
      <c r="C130" s="142"/>
    </row>
    <row r="131">
      <c r="C131" s="142"/>
    </row>
    <row r="132">
      <c r="C132" s="142"/>
    </row>
    <row r="133">
      <c r="C133" s="142"/>
    </row>
    <row r="134">
      <c r="C134" s="142"/>
    </row>
    <row r="135">
      <c r="C135" s="142"/>
    </row>
    <row r="136">
      <c r="C136" s="142"/>
    </row>
    <row r="137">
      <c r="C137" s="142"/>
    </row>
    <row r="138">
      <c r="C138" s="142"/>
    </row>
    <row r="139">
      <c r="C139" s="142"/>
    </row>
    <row r="140">
      <c r="C140" s="142"/>
    </row>
    <row r="141">
      <c r="C141" s="142"/>
    </row>
    <row r="142">
      <c r="C142" s="142"/>
    </row>
    <row r="143">
      <c r="C143" s="142"/>
    </row>
    <row r="144">
      <c r="C144" s="142"/>
    </row>
    <row r="145">
      <c r="C145" s="142"/>
    </row>
    <row r="146">
      <c r="C146" s="142"/>
    </row>
    <row r="147">
      <c r="C147" s="142"/>
    </row>
    <row r="148">
      <c r="C148" s="142"/>
    </row>
    <row r="149">
      <c r="C149" s="142"/>
    </row>
    <row r="150">
      <c r="C150" s="142"/>
    </row>
    <row r="151">
      <c r="C151" s="142"/>
    </row>
    <row r="152">
      <c r="C152" s="142"/>
    </row>
    <row r="153">
      <c r="C153" s="142"/>
    </row>
    <row r="154">
      <c r="C154" s="142"/>
    </row>
    <row r="155">
      <c r="C155" s="142"/>
    </row>
    <row r="156">
      <c r="C156" s="142"/>
    </row>
    <row r="157">
      <c r="C157" s="142"/>
    </row>
    <row r="158">
      <c r="C158" s="142"/>
    </row>
    <row r="159">
      <c r="C159" s="142"/>
    </row>
    <row r="160">
      <c r="C160" s="142"/>
    </row>
    <row r="161">
      <c r="C161" s="142"/>
    </row>
    <row r="162">
      <c r="C162" s="142"/>
    </row>
    <row r="163">
      <c r="C163" s="142"/>
    </row>
    <row r="164">
      <c r="C164" s="142"/>
    </row>
    <row r="165">
      <c r="C165" s="142"/>
    </row>
    <row r="166">
      <c r="C166" s="142"/>
    </row>
    <row r="167">
      <c r="C167" s="142"/>
    </row>
    <row r="168">
      <c r="C168" s="142"/>
    </row>
    <row r="169">
      <c r="C169" s="142"/>
    </row>
    <row r="170">
      <c r="C170" s="142"/>
    </row>
    <row r="171">
      <c r="C171" s="142"/>
    </row>
    <row r="172">
      <c r="C172" s="142"/>
    </row>
    <row r="173">
      <c r="C173" s="142"/>
    </row>
    <row r="174">
      <c r="C174" s="142"/>
    </row>
    <row r="175">
      <c r="C175" s="142"/>
    </row>
    <row r="176">
      <c r="C176" s="142"/>
    </row>
    <row r="177">
      <c r="C177" s="142"/>
    </row>
    <row r="178">
      <c r="C178" s="142"/>
    </row>
    <row r="179">
      <c r="C179" s="142"/>
    </row>
    <row r="180">
      <c r="C180" s="142"/>
    </row>
    <row r="181">
      <c r="C181" s="142"/>
    </row>
    <row r="182">
      <c r="C182" s="142"/>
    </row>
    <row r="183">
      <c r="C183" s="142"/>
    </row>
    <row r="184">
      <c r="C184" s="142"/>
    </row>
    <row r="185">
      <c r="C185" s="142"/>
    </row>
    <row r="186">
      <c r="C186" s="142"/>
    </row>
    <row r="187">
      <c r="C187" s="142"/>
    </row>
    <row r="188">
      <c r="C188" s="142"/>
    </row>
    <row r="189">
      <c r="C189" s="142"/>
    </row>
    <row r="190">
      <c r="C190" s="142"/>
    </row>
    <row r="191">
      <c r="C191" s="142"/>
    </row>
    <row r="192">
      <c r="C192" s="142"/>
    </row>
    <row r="193">
      <c r="C193" s="142"/>
    </row>
    <row r="194">
      <c r="C194" s="142"/>
    </row>
    <row r="195">
      <c r="C195" s="142"/>
    </row>
    <row r="196">
      <c r="C196" s="142"/>
    </row>
    <row r="197">
      <c r="C197" s="142"/>
    </row>
    <row r="198">
      <c r="C198" s="142"/>
    </row>
    <row r="199">
      <c r="C199" s="142"/>
    </row>
    <row r="200">
      <c r="C200" s="142"/>
    </row>
    <row r="201">
      <c r="C201" s="142"/>
    </row>
    <row r="202">
      <c r="C202" s="142"/>
    </row>
    <row r="203">
      <c r="C203" s="142"/>
    </row>
    <row r="204">
      <c r="C204" s="142"/>
    </row>
    <row r="205">
      <c r="C205" s="142"/>
    </row>
    <row r="206">
      <c r="C206" s="142"/>
    </row>
    <row r="207">
      <c r="C207" s="142"/>
    </row>
    <row r="208">
      <c r="C208" s="142"/>
    </row>
    <row r="209">
      <c r="C209" s="142"/>
    </row>
    <row r="210">
      <c r="C210" s="142"/>
    </row>
    <row r="211">
      <c r="C211" s="142"/>
    </row>
    <row r="212">
      <c r="C212" s="142"/>
    </row>
    <row r="213">
      <c r="C213" s="142"/>
    </row>
    <row r="214">
      <c r="C214" s="142"/>
    </row>
    <row r="215">
      <c r="C215" s="142"/>
    </row>
    <row r="216">
      <c r="C216" s="142"/>
    </row>
    <row r="217">
      <c r="C217" s="142"/>
    </row>
    <row r="218">
      <c r="C218" s="142"/>
    </row>
    <row r="219">
      <c r="C219" s="142"/>
    </row>
    <row r="220">
      <c r="C220" s="142"/>
    </row>
    <row r="221">
      <c r="C221" s="142"/>
    </row>
    <row r="222">
      <c r="C222" s="142"/>
    </row>
    <row r="223">
      <c r="C223" s="142"/>
    </row>
    <row r="224">
      <c r="C224" s="142"/>
    </row>
    <row r="225">
      <c r="C225" s="142"/>
    </row>
    <row r="226">
      <c r="C226" s="142"/>
    </row>
    <row r="227">
      <c r="C227" s="142"/>
    </row>
    <row r="228">
      <c r="C228" s="142"/>
    </row>
    <row r="229">
      <c r="C229" s="142"/>
    </row>
    <row r="230">
      <c r="C230" s="142"/>
    </row>
    <row r="231">
      <c r="C231" s="142"/>
    </row>
    <row r="232">
      <c r="C232" s="142"/>
    </row>
    <row r="233">
      <c r="C233" s="142"/>
    </row>
    <row r="234">
      <c r="C234" s="142"/>
    </row>
    <row r="235">
      <c r="C235" s="142"/>
    </row>
    <row r="236">
      <c r="C236" s="142"/>
    </row>
    <row r="237">
      <c r="C237" s="142"/>
    </row>
    <row r="238">
      <c r="C238" s="142"/>
    </row>
    <row r="239">
      <c r="C239" s="142"/>
    </row>
    <row r="240">
      <c r="C240" s="142"/>
    </row>
    <row r="241">
      <c r="C241" s="142"/>
    </row>
    <row r="242">
      <c r="C242" s="142"/>
    </row>
    <row r="243">
      <c r="C243" s="142"/>
    </row>
    <row r="244">
      <c r="C244" s="142"/>
    </row>
    <row r="245">
      <c r="C245" s="142"/>
    </row>
    <row r="246">
      <c r="C246" s="142"/>
    </row>
    <row r="247">
      <c r="C247" s="142"/>
    </row>
    <row r="248">
      <c r="C248" s="142"/>
    </row>
    <row r="249">
      <c r="C249" s="142"/>
    </row>
    <row r="250">
      <c r="C250" s="142"/>
    </row>
    <row r="251">
      <c r="C251" s="142"/>
    </row>
    <row r="252">
      <c r="C252" s="142"/>
    </row>
    <row r="253">
      <c r="C253" s="142"/>
    </row>
    <row r="254">
      <c r="C254" s="142"/>
    </row>
    <row r="255">
      <c r="C255" s="142"/>
    </row>
    <row r="256">
      <c r="C256" s="142"/>
    </row>
    <row r="257">
      <c r="C257" s="142"/>
    </row>
    <row r="258">
      <c r="C258" s="142"/>
    </row>
    <row r="259">
      <c r="C259" s="142"/>
    </row>
    <row r="260">
      <c r="C260" s="142"/>
    </row>
    <row r="261">
      <c r="C261" s="142"/>
    </row>
    <row r="262">
      <c r="C262" s="142"/>
    </row>
    <row r="263">
      <c r="C263" s="142"/>
    </row>
    <row r="264">
      <c r="C264" s="142"/>
    </row>
    <row r="265">
      <c r="C265" s="142"/>
    </row>
    <row r="266">
      <c r="C266" s="142"/>
    </row>
    <row r="267">
      <c r="C267" s="142"/>
    </row>
    <row r="268">
      <c r="C268" s="142"/>
    </row>
    <row r="269">
      <c r="C269" s="142"/>
    </row>
    <row r="270">
      <c r="C270" s="142"/>
    </row>
    <row r="271">
      <c r="C271" s="142"/>
    </row>
    <row r="272">
      <c r="C272" s="142"/>
    </row>
    <row r="273">
      <c r="C273" s="142"/>
    </row>
    <row r="274">
      <c r="C274" s="142"/>
    </row>
    <row r="275">
      <c r="C275" s="142"/>
    </row>
    <row r="276">
      <c r="C276" s="142"/>
    </row>
    <row r="277">
      <c r="C277" s="142"/>
    </row>
    <row r="278">
      <c r="C278" s="142"/>
    </row>
    <row r="279">
      <c r="C279" s="142"/>
    </row>
    <row r="280">
      <c r="C280" s="142"/>
    </row>
    <row r="281">
      <c r="C281" s="142"/>
    </row>
    <row r="282">
      <c r="C282" s="142"/>
    </row>
    <row r="283">
      <c r="C283" s="142"/>
    </row>
    <row r="284">
      <c r="C284" s="142"/>
    </row>
    <row r="285">
      <c r="C285" s="142"/>
    </row>
    <row r="286">
      <c r="C286" s="142"/>
    </row>
    <row r="287">
      <c r="C287" s="142"/>
    </row>
    <row r="288">
      <c r="C288" s="142"/>
    </row>
    <row r="289">
      <c r="C289" s="142"/>
    </row>
    <row r="290">
      <c r="C290" s="142"/>
    </row>
    <row r="291">
      <c r="C291" s="142"/>
    </row>
    <row r="292">
      <c r="C292" s="142"/>
    </row>
    <row r="293">
      <c r="C293" s="142"/>
    </row>
    <row r="294">
      <c r="C294" s="142"/>
    </row>
    <row r="295">
      <c r="C295" s="142"/>
    </row>
    <row r="296">
      <c r="C296" s="142"/>
    </row>
    <row r="297">
      <c r="C297" s="142"/>
    </row>
    <row r="298">
      <c r="C298" s="142"/>
    </row>
    <row r="299">
      <c r="C299" s="142"/>
    </row>
    <row r="300">
      <c r="C300" s="142"/>
    </row>
    <row r="301">
      <c r="C301" s="142"/>
    </row>
    <row r="302">
      <c r="C302" s="142"/>
    </row>
    <row r="303">
      <c r="C303" s="142"/>
    </row>
    <row r="304">
      <c r="C304" s="142"/>
    </row>
    <row r="305">
      <c r="C305" s="142"/>
    </row>
    <row r="306">
      <c r="C306" s="142"/>
    </row>
    <row r="307">
      <c r="C307" s="142"/>
    </row>
    <row r="308">
      <c r="C308" s="142"/>
    </row>
    <row r="309">
      <c r="C309" s="142"/>
    </row>
    <row r="310">
      <c r="C310" s="142"/>
    </row>
    <row r="311">
      <c r="C311" s="142"/>
    </row>
    <row r="312">
      <c r="C312" s="142"/>
    </row>
    <row r="313">
      <c r="C313" s="142"/>
    </row>
    <row r="314">
      <c r="C314" s="142"/>
    </row>
    <row r="315">
      <c r="C315" s="142"/>
    </row>
    <row r="316">
      <c r="C316" s="142"/>
    </row>
    <row r="317">
      <c r="C317" s="142"/>
    </row>
    <row r="318">
      <c r="C318" s="142"/>
    </row>
    <row r="319">
      <c r="C319" s="142"/>
    </row>
    <row r="320">
      <c r="C320" s="142"/>
    </row>
    <row r="321">
      <c r="C321" s="142"/>
    </row>
    <row r="322">
      <c r="C322" s="142"/>
    </row>
    <row r="323">
      <c r="C323" s="142"/>
    </row>
    <row r="324">
      <c r="C324" s="142"/>
    </row>
    <row r="325">
      <c r="C325" s="142"/>
    </row>
    <row r="326">
      <c r="C326" s="142"/>
    </row>
    <row r="327">
      <c r="C327" s="142"/>
    </row>
    <row r="328">
      <c r="C328" s="142"/>
    </row>
    <row r="329">
      <c r="C329" s="142"/>
    </row>
    <row r="330">
      <c r="C330" s="142"/>
    </row>
    <row r="331">
      <c r="C331" s="142"/>
    </row>
    <row r="332">
      <c r="C332" s="142"/>
    </row>
    <row r="333">
      <c r="C333" s="142"/>
    </row>
    <row r="334">
      <c r="C334" s="142"/>
    </row>
    <row r="335">
      <c r="C335" s="142"/>
    </row>
    <row r="336">
      <c r="C336" s="142"/>
    </row>
    <row r="337">
      <c r="C337" s="142"/>
    </row>
    <row r="338">
      <c r="C338" s="142"/>
    </row>
    <row r="339">
      <c r="C339" s="142"/>
    </row>
    <row r="340">
      <c r="C340" s="142"/>
    </row>
    <row r="341">
      <c r="C341" s="142"/>
    </row>
    <row r="342">
      <c r="C342" s="142"/>
    </row>
    <row r="343">
      <c r="C343" s="142"/>
    </row>
    <row r="344">
      <c r="C344" s="142"/>
    </row>
    <row r="345">
      <c r="C345" s="142"/>
    </row>
    <row r="346">
      <c r="C346" s="142"/>
    </row>
    <row r="347">
      <c r="C347" s="142"/>
    </row>
    <row r="348">
      <c r="C348" s="142"/>
    </row>
    <row r="349">
      <c r="C349" s="142"/>
    </row>
    <row r="350">
      <c r="C350" s="142"/>
    </row>
    <row r="351">
      <c r="C351" s="142"/>
    </row>
    <row r="352">
      <c r="C352" s="142"/>
    </row>
    <row r="353">
      <c r="C353" s="142"/>
    </row>
    <row r="354">
      <c r="C354" s="142"/>
    </row>
    <row r="355">
      <c r="C355" s="142"/>
    </row>
    <row r="356">
      <c r="C356" s="142"/>
    </row>
    <row r="357">
      <c r="C357" s="142"/>
    </row>
    <row r="358">
      <c r="C358" s="142"/>
    </row>
    <row r="359">
      <c r="C359" s="142"/>
    </row>
    <row r="360">
      <c r="C360" s="142"/>
    </row>
    <row r="361">
      <c r="C361" s="142"/>
    </row>
    <row r="362">
      <c r="C362" s="142"/>
    </row>
    <row r="363">
      <c r="C363" s="142"/>
    </row>
    <row r="364">
      <c r="C364" s="142"/>
    </row>
    <row r="365">
      <c r="C365" s="142"/>
    </row>
    <row r="366">
      <c r="C366" s="142"/>
    </row>
    <row r="367">
      <c r="C367" s="142"/>
    </row>
    <row r="368">
      <c r="C368" s="142"/>
    </row>
    <row r="369">
      <c r="C369" s="142"/>
    </row>
    <row r="370">
      <c r="C370" s="142"/>
    </row>
    <row r="371">
      <c r="C371" s="142"/>
    </row>
    <row r="372">
      <c r="C372" s="142"/>
    </row>
    <row r="373">
      <c r="C373" s="142"/>
    </row>
    <row r="374">
      <c r="C374" s="142"/>
    </row>
    <row r="375">
      <c r="C375" s="142"/>
    </row>
    <row r="376">
      <c r="C376" s="142"/>
    </row>
    <row r="377">
      <c r="C377" s="142"/>
    </row>
    <row r="378">
      <c r="C378" s="142"/>
    </row>
    <row r="379">
      <c r="C379" s="142"/>
    </row>
    <row r="380">
      <c r="C380" s="142"/>
    </row>
    <row r="381">
      <c r="C381" s="142"/>
    </row>
    <row r="382">
      <c r="C382" s="142"/>
    </row>
    <row r="383">
      <c r="C383" s="142"/>
    </row>
    <row r="384">
      <c r="C384" s="142"/>
    </row>
    <row r="385">
      <c r="C385" s="142"/>
    </row>
    <row r="386">
      <c r="C386" s="142"/>
    </row>
    <row r="387">
      <c r="C387" s="142"/>
    </row>
    <row r="388">
      <c r="C388" s="142"/>
    </row>
    <row r="389">
      <c r="C389" s="142"/>
    </row>
    <row r="390">
      <c r="C390" s="142"/>
    </row>
    <row r="391">
      <c r="C391" s="142"/>
    </row>
    <row r="392">
      <c r="C392" s="142"/>
    </row>
    <row r="393">
      <c r="C393" s="142"/>
    </row>
    <row r="394">
      <c r="C394" s="142"/>
    </row>
    <row r="395">
      <c r="C395" s="142"/>
    </row>
    <row r="396">
      <c r="C396" s="142"/>
    </row>
    <row r="397">
      <c r="C397" s="142"/>
    </row>
    <row r="398">
      <c r="C398" s="142"/>
    </row>
    <row r="399">
      <c r="C399" s="142"/>
    </row>
    <row r="400">
      <c r="C400" s="142"/>
    </row>
    <row r="401">
      <c r="C401" s="142"/>
    </row>
    <row r="402">
      <c r="C402" s="142"/>
    </row>
    <row r="403">
      <c r="C403" s="142"/>
    </row>
    <row r="404">
      <c r="C404" s="142"/>
    </row>
    <row r="405">
      <c r="C405" s="142"/>
    </row>
    <row r="406">
      <c r="C406" s="142"/>
    </row>
    <row r="407">
      <c r="C407" s="142"/>
    </row>
    <row r="408">
      <c r="C408" s="142"/>
    </row>
    <row r="409">
      <c r="C409" s="142"/>
    </row>
    <row r="410">
      <c r="C410" s="142"/>
    </row>
    <row r="411">
      <c r="C411" s="142"/>
    </row>
    <row r="412">
      <c r="C412" s="142"/>
    </row>
    <row r="413">
      <c r="C413" s="142"/>
    </row>
    <row r="414">
      <c r="C414" s="142"/>
    </row>
    <row r="415">
      <c r="C415" s="142"/>
    </row>
    <row r="416">
      <c r="C416" s="142"/>
    </row>
    <row r="417">
      <c r="C417" s="142"/>
    </row>
    <row r="418">
      <c r="C418" s="142"/>
    </row>
    <row r="419">
      <c r="C419" s="142"/>
    </row>
    <row r="420">
      <c r="C420" s="142"/>
    </row>
    <row r="421">
      <c r="C421" s="142"/>
    </row>
    <row r="422">
      <c r="C422" s="142"/>
    </row>
    <row r="423">
      <c r="C423" s="142"/>
    </row>
    <row r="424">
      <c r="C424" s="142"/>
    </row>
    <row r="425">
      <c r="C425" s="142"/>
    </row>
    <row r="426">
      <c r="C426" s="142"/>
    </row>
    <row r="427">
      <c r="C427" s="142"/>
    </row>
    <row r="428">
      <c r="C428" s="142"/>
    </row>
    <row r="429">
      <c r="C429" s="142"/>
    </row>
    <row r="430">
      <c r="C430" s="142"/>
    </row>
    <row r="431">
      <c r="C431" s="142"/>
    </row>
    <row r="432">
      <c r="C432" s="142"/>
    </row>
    <row r="433">
      <c r="C433" s="142"/>
    </row>
    <row r="434">
      <c r="C434" s="142"/>
    </row>
    <row r="435">
      <c r="C435" s="142"/>
    </row>
    <row r="436">
      <c r="C436" s="142"/>
    </row>
    <row r="437">
      <c r="C437" s="142"/>
    </row>
    <row r="438">
      <c r="C438" s="142"/>
    </row>
    <row r="439">
      <c r="C439" s="142"/>
    </row>
    <row r="440">
      <c r="C440" s="142"/>
    </row>
    <row r="441">
      <c r="C441" s="142"/>
    </row>
    <row r="442">
      <c r="C442" s="142"/>
    </row>
    <row r="443">
      <c r="C443" s="142"/>
    </row>
    <row r="444">
      <c r="C444" s="142"/>
    </row>
    <row r="445">
      <c r="C445" s="142"/>
    </row>
    <row r="446">
      <c r="C446" s="142"/>
    </row>
    <row r="447">
      <c r="C447" s="142"/>
    </row>
    <row r="448">
      <c r="C448" s="142"/>
    </row>
    <row r="449">
      <c r="C449" s="142"/>
    </row>
    <row r="450">
      <c r="C450" s="142"/>
    </row>
    <row r="451">
      <c r="C451" s="142"/>
    </row>
    <row r="452">
      <c r="C452" s="142"/>
    </row>
    <row r="453">
      <c r="C453" s="142"/>
    </row>
    <row r="454">
      <c r="C454" s="142"/>
    </row>
    <row r="455">
      <c r="C455" s="142"/>
    </row>
    <row r="456">
      <c r="C456" s="142"/>
    </row>
    <row r="457">
      <c r="C457" s="142"/>
    </row>
    <row r="458">
      <c r="C458" s="142"/>
    </row>
    <row r="459">
      <c r="C459" s="142"/>
    </row>
    <row r="460">
      <c r="C460" s="142"/>
    </row>
    <row r="461">
      <c r="C461" s="142"/>
    </row>
    <row r="462">
      <c r="C462" s="142"/>
    </row>
    <row r="463">
      <c r="C463" s="142"/>
    </row>
    <row r="464">
      <c r="C464" s="142"/>
    </row>
    <row r="465">
      <c r="C465" s="142"/>
    </row>
    <row r="466">
      <c r="C466" s="142"/>
    </row>
    <row r="467">
      <c r="C467" s="142"/>
    </row>
    <row r="468">
      <c r="C468" s="142"/>
    </row>
    <row r="469">
      <c r="C469" s="142"/>
    </row>
    <row r="470">
      <c r="C470" s="142"/>
    </row>
    <row r="471">
      <c r="C471" s="142"/>
    </row>
    <row r="472">
      <c r="C472" s="142"/>
    </row>
    <row r="473">
      <c r="C473" s="142"/>
    </row>
    <row r="474">
      <c r="C474" s="142"/>
    </row>
    <row r="475">
      <c r="C475" s="142"/>
    </row>
    <row r="476">
      <c r="C476" s="142"/>
    </row>
    <row r="477">
      <c r="C477" s="142"/>
    </row>
    <row r="478">
      <c r="C478" s="142"/>
    </row>
    <row r="479">
      <c r="C479" s="142"/>
    </row>
    <row r="480">
      <c r="C480" s="142"/>
    </row>
    <row r="481">
      <c r="C481" s="142"/>
    </row>
    <row r="482">
      <c r="C482" s="142"/>
    </row>
    <row r="483">
      <c r="C483" s="142"/>
    </row>
    <row r="484">
      <c r="C484" s="142"/>
    </row>
    <row r="485">
      <c r="C485" s="142"/>
    </row>
    <row r="486">
      <c r="C486" s="142"/>
    </row>
    <row r="487">
      <c r="C487" s="142"/>
    </row>
    <row r="488">
      <c r="C488" s="142"/>
    </row>
    <row r="489">
      <c r="C489" s="142"/>
    </row>
    <row r="490">
      <c r="C490" s="142"/>
    </row>
    <row r="491">
      <c r="C491" s="142"/>
    </row>
    <row r="492">
      <c r="C492" s="142"/>
    </row>
    <row r="493">
      <c r="C493" s="142"/>
    </row>
    <row r="494">
      <c r="C494" s="142"/>
    </row>
    <row r="495">
      <c r="C495" s="142"/>
    </row>
    <row r="496">
      <c r="C496" s="142"/>
    </row>
    <row r="497">
      <c r="C497" s="142"/>
    </row>
    <row r="498">
      <c r="C498" s="142"/>
    </row>
    <row r="499">
      <c r="C499" s="142"/>
    </row>
    <row r="500">
      <c r="C500" s="142"/>
    </row>
    <row r="501">
      <c r="C501" s="142"/>
    </row>
    <row r="502">
      <c r="C502" s="142"/>
    </row>
    <row r="503">
      <c r="C503" s="142"/>
    </row>
    <row r="504">
      <c r="C504" s="142"/>
    </row>
    <row r="505">
      <c r="C505" s="142"/>
    </row>
    <row r="506">
      <c r="C506" s="142"/>
    </row>
    <row r="507">
      <c r="C507" s="142"/>
    </row>
    <row r="508">
      <c r="C508" s="142"/>
    </row>
    <row r="509">
      <c r="C509" s="142"/>
    </row>
    <row r="510">
      <c r="C510" s="142"/>
    </row>
    <row r="511">
      <c r="C511" s="142"/>
    </row>
    <row r="512">
      <c r="C512" s="142"/>
    </row>
    <row r="513">
      <c r="C513" s="142"/>
    </row>
    <row r="514">
      <c r="C514" s="142"/>
    </row>
    <row r="515">
      <c r="C515" s="142"/>
    </row>
    <row r="516">
      <c r="C516" s="142"/>
    </row>
    <row r="517">
      <c r="C517" s="142"/>
    </row>
    <row r="518">
      <c r="C518" s="142"/>
    </row>
    <row r="519">
      <c r="C519" s="142"/>
    </row>
    <row r="520">
      <c r="C520" s="142"/>
    </row>
    <row r="521">
      <c r="C521" s="142"/>
    </row>
    <row r="522">
      <c r="C522" s="142"/>
    </row>
    <row r="523">
      <c r="C523" s="142"/>
    </row>
    <row r="524">
      <c r="C524" s="142"/>
    </row>
    <row r="525">
      <c r="C525" s="142"/>
    </row>
    <row r="526">
      <c r="C526" s="142"/>
    </row>
    <row r="527">
      <c r="C527" s="142"/>
    </row>
    <row r="528">
      <c r="C528" s="142"/>
    </row>
    <row r="529">
      <c r="C529" s="142"/>
    </row>
    <row r="530">
      <c r="C530" s="142"/>
    </row>
    <row r="531">
      <c r="C531" s="142"/>
    </row>
    <row r="532">
      <c r="C532" s="142"/>
    </row>
    <row r="533">
      <c r="C533" s="142"/>
    </row>
    <row r="534">
      <c r="C534" s="142"/>
    </row>
    <row r="535">
      <c r="C535" s="142"/>
    </row>
    <row r="536">
      <c r="C536" s="142"/>
    </row>
    <row r="537">
      <c r="C537" s="142"/>
    </row>
    <row r="538">
      <c r="C538" s="142"/>
    </row>
    <row r="539">
      <c r="C539" s="142"/>
    </row>
    <row r="540">
      <c r="C540" s="142"/>
    </row>
    <row r="541">
      <c r="C541" s="142"/>
    </row>
    <row r="542">
      <c r="C542" s="142"/>
    </row>
    <row r="543">
      <c r="C543" s="142"/>
    </row>
    <row r="544">
      <c r="C544" s="142"/>
    </row>
    <row r="545">
      <c r="C545" s="142"/>
    </row>
    <row r="546">
      <c r="C546" s="142"/>
    </row>
    <row r="547">
      <c r="C547" s="142"/>
    </row>
    <row r="548">
      <c r="C548" s="142"/>
    </row>
    <row r="549">
      <c r="C549" s="142"/>
    </row>
    <row r="550">
      <c r="C550" s="142"/>
    </row>
    <row r="551">
      <c r="C551" s="142"/>
    </row>
    <row r="552">
      <c r="C552" s="142"/>
    </row>
    <row r="553">
      <c r="C553" s="142"/>
    </row>
    <row r="554">
      <c r="C554" s="142"/>
    </row>
    <row r="555">
      <c r="C555" s="142"/>
    </row>
    <row r="556">
      <c r="C556" s="142"/>
    </row>
    <row r="557">
      <c r="C557" s="142"/>
    </row>
    <row r="558">
      <c r="C558" s="142"/>
    </row>
    <row r="559">
      <c r="C559" s="142"/>
    </row>
    <row r="560">
      <c r="C560" s="142"/>
    </row>
    <row r="561">
      <c r="C561" s="142"/>
    </row>
    <row r="562">
      <c r="C562" s="142"/>
    </row>
    <row r="563">
      <c r="C563" s="142"/>
    </row>
    <row r="564">
      <c r="C564" s="142"/>
    </row>
    <row r="565">
      <c r="C565" s="142"/>
    </row>
    <row r="566">
      <c r="C566" s="142"/>
    </row>
    <row r="567">
      <c r="C567" s="142"/>
    </row>
    <row r="568">
      <c r="C568" s="142"/>
    </row>
    <row r="569">
      <c r="C569" s="142"/>
    </row>
    <row r="570">
      <c r="C570" s="142"/>
    </row>
    <row r="571">
      <c r="C571" s="142"/>
    </row>
    <row r="572">
      <c r="C572" s="142"/>
    </row>
    <row r="573">
      <c r="C573" s="142"/>
    </row>
    <row r="574">
      <c r="C574" s="142"/>
    </row>
    <row r="575">
      <c r="C575" s="142"/>
    </row>
    <row r="576">
      <c r="C576" s="142"/>
    </row>
    <row r="577">
      <c r="C577" s="142"/>
    </row>
    <row r="578">
      <c r="C578" s="142"/>
    </row>
    <row r="579">
      <c r="C579" s="142"/>
    </row>
    <row r="580">
      <c r="C580" s="142"/>
    </row>
    <row r="581">
      <c r="C581" s="142"/>
    </row>
    <row r="582">
      <c r="C582" s="142"/>
    </row>
    <row r="583">
      <c r="C583" s="142"/>
    </row>
    <row r="584">
      <c r="C584" s="142"/>
    </row>
    <row r="585">
      <c r="C585" s="142"/>
    </row>
    <row r="586">
      <c r="C586" s="142"/>
    </row>
    <row r="587">
      <c r="C587" s="142"/>
    </row>
    <row r="588">
      <c r="C588" s="142"/>
    </row>
    <row r="589">
      <c r="C589" s="142"/>
    </row>
    <row r="590">
      <c r="C590" s="142"/>
    </row>
    <row r="591">
      <c r="C591" s="142"/>
    </row>
    <row r="592">
      <c r="C592" s="142"/>
    </row>
    <row r="593">
      <c r="C593" s="142"/>
    </row>
    <row r="594">
      <c r="C594" s="142"/>
    </row>
    <row r="595">
      <c r="C595" s="142"/>
    </row>
    <row r="596">
      <c r="C596" s="142"/>
    </row>
    <row r="597">
      <c r="C597" s="142"/>
    </row>
    <row r="598">
      <c r="C598" s="142"/>
    </row>
    <row r="599">
      <c r="C599" s="142"/>
    </row>
    <row r="600">
      <c r="C600" s="142"/>
    </row>
    <row r="601">
      <c r="C601" s="142"/>
    </row>
    <row r="602">
      <c r="C602" s="142"/>
    </row>
    <row r="603">
      <c r="C603" s="142"/>
    </row>
    <row r="604">
      <c r="C604" s="142"/>
    </row>
    <row r="605">
      <c r="C605" s="142"/>
    </row>
    <row r="606">
      <c r="C606" s="142"/>
    </row>
    <row r="607">
      <c r="C607" s="142"/>
    </row>
    <row r="608">
      <c r="C608" s="142"/>
    </row>
    <row r="609">
      <c r="C609" s="142"/>
    </row>
    <row r="610">
      <c r="C610" s="142"/>
    </row>
    <row r="611">
      <c r="C611" s="142"/>
    </row>
    <row r="612">
      <c r="C612" s="142"/>
    </row>
    <row r="613">
      <c r="C613" s="142"/>
    </row>
    <row r="614">
      <c r="C614" s="142"/>
    </row>
    <row r="615">
      <c r="C615" s="142"/>
    </row>
    <row r="616">
      <c r="C616" s="142"/>
    </row>
    <row r="617">
      <c r="C617" s="142"/>
    </row>
    <row r="618">
      <c r="C618" s="142"/>
    </row>
    <row r="619">
      <c r="C619" s="142"/>
    </row>
    <row r="620">
      <c r="C620" s="142"/>
    </row>
    <row r="621">
      <c r="C621" s="142"/>
    </row>
    <row r="622">
      <c r="C622" s="142"/>
    </row>
    <row r="623">
      <c r="C623" s="142"/>
    </row>
    <row r="624">
      <c r="C624" s="142"/>
    </row>
    <row r="625">
      <c r="C625" s="142"/>
    </row>
    <row r="626">
      <c r="C626" s="142"/>
    </row>
    <row r="627">
      <c r="C627" s="142"/>
    </row>
    <row r="628">
      <c r="C628" s="142"/>
    </row>
    <row r="629">
      <c r="C629" s="142"/>
    </row>
    <row r="630">
      <c r="C630" s="142"/>
    </row>
    <row r="631">
      <c r="C631" s="142"/>
    </row>
    <row r="632">
      <c r="C632" s="142"/>
    </row>
    <row r="633">
      <c r="C633" s="142"/>
    </row>
    <row r="634">
      <c r="C634" s="142"/>
    </row>
    <row r="635">
      <c r="C635" s="142"/>
    </row>
    <row r="636">
      <c r="C636" s="142"/>
    </row>
    <row r="637">
      <c r="C637" s="142"/>
    </row>
    <row r="638">
      <c r="C638" s="142"/>
    </row>
    <row r="639">
      <c r="C639" s="142"/>
    </row>
    <row r="640">
      <c r="C640" s="142"/>
    </row>
    <row r="641">
      <c r="C641" s="142"/>
    </row>
    <row r="642">
      <c r="C642" s="142"/>
    </row>
    <row r="643">
      <c r="C643" s="142"/>
    </row>
    <row r="644">
      <c r="C644" s="142"/>
    </row>
    <row r="645">
      <c r="C645" s="142"/>
    </row>
    <row r="646">
      <c r="C646" s="142"/>
    </row>
    <row r="647">
      <c r="C647" s="142"/>
    </row>
    <row r="648">
      <c r="C648" s="142"/>
    </row>
    <row r="649">
      <c r="C649" s="142"/>
    </row>
    <row r="650">
      <c r="C650" s="142"/>
    </row>
    <row r="651">
      <c r="C651" s="142"/>
    </row>
    <row r="652">
      <c r="C652" s="142"/>
    </row>
    <row r="653">
      <c r="C653" s="142"/>
    </row>
    <row r="654">
      <c r="C654" s="142"/>
    </row>
    <row r="655">
      <c r="C655" s="142"/>
    </row>
    <row r="656">
      <c r="C656" s="142"/>
    </row>
    <row r="657">
      <c r="C657" s="142"/>
    </row>
    <row r="658">
      <c r="C658" s="142"/>
    </row>
    <row r="659">
      <c r="C659" s="142"/>
    </row>
    <row r="660">
      <c r="C660" s="142"/>
    </row>
    <row r="661">
      <c r="C661" s="142"/>
    </row>
    <row r="662">
      <c r="C662" s="142"/>
    </row>
    <row r="663">
      <c r="C663" s="142"/>
    </row>
    <row r="664">
      <c r="C664" s="142"/>
    </row>
    <row r="665">
      <c r="C665" s="142"/>
    </row>
    <row r="666">
      <c r="C666" s="142"/>
    </row>
    <row r="667">
      <c r="C667" s="142"/>
    </row>
    <row r="668">
      <c r="C668" s="142"/>
    </row>
    <row r="669">
      <c r="C669" s="142"/>
    </row>
    <row r="670">
      <c r="C670" s="142"/>
    </row>
    <row r="671">
      <c r="C671" s="142"/>
    </row>
    <row r="672">
      <c r="C672" s="142"/>
    </row>
    <row r="673">
      <c r="C673" s="142"/>
    </row>
    <row r="674">
      <c r="C674" s="142"/>
    </row>
    <row r="675">
      <c r="C675" s="142"/>
    </row>
    <row r="676">
      <c r="C676" s="142"/>
    </row>
    <row r="677">
      <c r="C677" s="142"/>
    </row>
    <row r="678">
      <c r="C678" s="142"/>
    </row>
    <row r="679">
      <c r="C679" s="142"/>
    </row>
    <row r="680">
      <c r="C680" s="142"/>
    </row>
    <row r="681">
      <c r="C681" s="142"/>
    </row>
    <row r="682">
      <c r="C682" s="142"/>
    </row>
    <row r="683">
      <c r="C683" s="142"/>
    </row>
    <row r="684">
      <c r="C684" s="142"/>
    </row>
    <row r="685">
      <c r="C685" s="142"/>
    </row>
    <row r="686">
      <c r="C686" s="142"/>
    </row>
    <row r="687">
      <c r="C687" s="142"/>
    </row>
    <row r="688">
      <c r="C688" s="142"/>
    </row>
    <row r="689">
      <c r="C689" s="142"/>
    </row>
    <row r="690">
      <c r="C690" s="142"/>
    </row>
    <row r="691">
      <c r="C691" s="142"/>
    </row>
    <row r="692">
      <c r="C692" s="142"/>
    </row>
    <row r="693">
      <c r="C693" s="142"/>
    </row>
    <row r="694">
      <c r="C694" s="142"/>
    </row>
    <row r="695">
      <c r="C695" s="142"/>
    </row>
    <row r="696">
      <c r="C696" s="142"/>
    </row>
    <row r="697">
      <c r="C697" s="142"/>
    </row>
    <row r="698">
      <c r="C698" s="142"/>
    </row>
    <row r="699">
      <c r="C699" s="142"/>
    </row>
    <row r="700">
      <c r="C700" s="142"/>
    </row>
    <row r="701">
      <c r="C701" s="142"/>
    </row>
    <row r="702">
      <c r="C702" s="142"/>
    </row>
    <row r="703">
      <c r="C703" s="142"/>
    </row>
    <row r="704">
      <c r="C704" s="142"/>
    </row>
    <row r="705">
      <c r="C705" s="142"/>
    </row>
    <row r="706">
      <c r="C706" s="142"/>
    </row>
    <row r="707">
      <c r="C707" s="142"/>
    </row>
    <row r="708">
      <c r="C708" s="142"/>
    </row>
    <row r="709">
      <c r="C709" s="142"/>
    </row>
    <row r="710">
      <c r="C710" s="142"/>
    </row>
    <row r="711">
      <c r="C711" s="142"/>
    </row>
    <row r="712">
      <c r="C712" s="142"/>
    </row>
    <row r="713">
      <c r="C713" s="142"/>
    </row>
    <row r="714">
      <c r="C714" s="142"/>
    </row>
    <row r="715">
      <c r="C715" s="142"/>
    </row>
    <row r="716">
      <c r="C716" s="142"/>
    </row>
    <row r="717">
      <c r="C717" s="142"/>
    </row>
    <row r="718">
      <c r="C718" s="142"/>
    </row>
    <row r="719">
      <c r="C719" s="142"/>
    </row>
    <row r="720">
      <c r="C720" s="142"/>
    </row>
    <row r="721">
      <c r="C721" s="142"/>
    </row>
    <row r="722">
      <c r="C722" s="142"/>
    </row>
    <row r="723">
      <c r="C723" s="142"/>
    </row>
    <row r="724">
      <c r="C724" s="142"/>
    </row>
    <row r="725">
      <c r="C725" s="142"/>
    </row>
    <row r="726">
      <c r="C726" s="142"/>
    </row>
    <row r="727">
      <c r="C727" s="142"/>
    </row>
    <row r="728">
      <c r="C728" s="142"/>
    </row>
    <row r="729">
      <c r="C729" s="142"/>
    </row>
    <row r="730">
      <c r="C730" s="142"/>
    </row>
    <row r="731">
      <c r="C731" s="142"/>
    </row>
    <row r="732">
      <c r="C732" s="142"/>
    </row>
    <row r="733">
      <c r="C733" s="142"/>
    </row>
    <row r="734">
      <c r="C734" s="142"/>
    </row>
    <row r="735">
      <c r="C735" s="142"/>
    </row>
    <row r="736">
      <c r="C736" s="142"/>
    </row>
    <row r="737">
      <c r="C737" s="142"/>
    </row>
    <row r="738">
      <c r="C738" s="142"/>
    </row>
    <row r="739">
      <c r="C739" s="142"/>
    </row>
    <row r="740">
      <c r="C740" s="142"/>
    </row>
    <row r="741">
      <c r="C741" s="142"/>
    </row>
    <row r="742">
      <c r="C742" s="142"/>
    </row>
    <row r="743">
      <c r="C743" s="142"/>
    </row>
    <row r="744">
      <c r="C744" s="142"/>
    </row>
    <row r="745">
      <c r="C745" s="142"/>
    </row>
    <row r="746">
      <c r="C746" s="142"/>
    </row>
    <row r="747">
      <c r="C747" s="142"/>
    </row>
    <row r="748">
      <c r="C748" s="142"/>
    </row>
    <row r="749">
      <c r="C749" s="142"/>
    </row>
    <row r="750">
      <c r="C750" s="142"/>
    </row>
    <row r="751">
      <c r="C751" s="142"/>
    </row>
    <row r="752">
      <c r="C752" s="142"/>
    </row>
    <row r="753">
      <c r="C753" s="142"/>
    </row>
    <row r="754">
      <c r="C754" s="142"/>
    </row>
    <row r="755">
      <c r="C755" s="142"/>
    </row>
    <row r="756">
      <c r="C756" s="142"/>
    </row>
    <row r="757">
      <c r="C757" s="142"/>
    </row>
    <row r="758">
      <c r="C758" s="142"/>
    </row>
    <row r="759">
      <c r="C759" s="142"/>
    </row>
    <row r="760">
      <c r="C760" s="142"/>
    </row>
    <row r="761">
      <c r="C761" s="142"/>
    </row>
    <row r="762">
      <c r="C762" s="142"/>
    </row>
    <row r="763">
      <c r="C763" s="142"/>
    </row>
    <row r="764">
      <c r="C764" s="142"/>
    </row>
    <row r="765">
      <c r="C765" s="142"/>
    </row>
    <row r="766">
      <c r="C766" s="142"/>
    </row>
    <row r="767">
      <c r="C767" s="142"/>
    </row>
    <row r="768">
      <c r="C768" s="142"/>
    </row>
    <row r="769">
      <c r="C769" s="142"/>
    </row>
    <row r="770">
      <c r="C770" s="142"/>
    </row>
    <row r="771">
      <c r="C771" s="142"/>
    </row>
    <row r="772">
      <c r="C772" s="142"/>
    </row>
    <row r="773">
      <c r="C773" s="142"/>
    </row>
    <row r="774">
      <c r="C774" s="142"/>
    </row>
    <row r="775">
      <c r="C775" s="142"/>
    </row>
    <row r="776">
      <c r="C776" s="142"/>
    </row>
    <row r="777">
      <c r="C777" s="142"/>
    </row>
    <row r="778">
      <c r="C778" s="142"/>
    </row>
    <row r="779">
      <c r="C779" s="142"/>
    </row>
    <row r="780">
      <c r="C780" s="142"/>
    </row>
    <row r="781">
      <c r="C781" s="142"/>
    </row>
    <row r="782">
      <c r="C782" s="142"/>
    </row>
    <row r="783">
      <c r="C783" s="142"/>
    </row>
    <row r="784">
      <c r="C784" s="142"/>
    </row>
    <row r="785">
      <c r="C785" s="142"/>
    </row>
    <row r="786">
      <c r="C786" s="142"/>
    </row>
    <row r="787">
      <c r="C787" s="142"/>
    </row>
    <row r="788">
      <c r="C788" s="142"/>
    </row>
    <row r="789">
      <c r="C789" s="142"/>
    </row>
    <row r="790">
      <c r="C790" s="142"/>
    </row>
    <row r="791">
      <c r="C791" s="142"/>
    </row>
    <row r="792">
      <c r="C792" s="142"/>
    </row>
    <row r="793">
      <c r="C793" s="142"/>
    </row>
    <row r="794">
      <c r="C794" s="142"/>
    </row>
    <row r="795">
      <c r="C795" s="142"/>
    </row>
    <row r="796">
      <c r="C796" s="142"/>
    </row>
    <row r="797">
      <c r="C797" s="142"/>
    </row>
    <row r="798">
      <c r="C798" s="142"/>
    </row>
    <row r="799">
      <c r="C799" s="142"/>
    </row>
    <row r="800">
      <c r="C800" s="142"/>
    </row>
    <row r="801">
      <c r="C801" s="142"/>
    </row>
    <row r="802">
      <c r="C802" s="142"/>
    </row>
    <row r="803">
      <c r="C803" s="142"/>
    </row>
    <row r="804">
      <c r="C804" s="142"/>
    </row>
    <row r="805">
      <c r="C805" s="142"/>
    </row>
    <row r="806">
      <c r="C806" s="142"/>
    </row>
    <row r="807">
      <c r="C807" s="142"/>
    </row>
    <row r="808">
      <c r="C808" s="142"/>
    </row>
    <row r="809">
      <c r="C809" s="142"/>
    </row>
    <row r="810">
      <c r="C810" s="142"/>
    </row>
    <row r="811">
      <c r="C811" s="142"/>
    </row>
    <row r="812">
      <c r="C812" s="142"/>
    </row>
    <row r="813">
      <c r="C813" s="142"/>
    </row>
    <row r="814">
      <c r="C814" s="142"/>
    </row>
    <row r="815">
      <c r="C815" s="142"/>
    </row>
    <row r="816">
      <c r="C816" s="142"/>
    </row>
    <row r="817">
      <c r="C817" s="142"/>
    </row>
    <row r="818">
      <c r="C818" s="142"/>
    </row>
    <row r="819">
      <c r="C819" s="142"/>
    </row>
    <row r="820">
      <c r="C820" s="142"/>
    </row>
    <row r="821">
      <c r="C821" s="142"/>
    </row>
    <row r="822">
      <c r="C822" s="142"/>
    </row>
    <row r="823">
      <c r="C823" s="142"/>
    </row>
    <row r="824">
      <c r="C824" s="142"/>
    </row>
    <row r="825">
      <c r="C825" s="142"/>
    </row>
    <row r="826">
      <c r="C826" s="142"/>
    </row>
    <row r="827">
      <c r="C827" s="142"/>
    </row>
    <row r="828">
      <c r="C828" s="142"/>
    </row>
    <row r="829">
      <c r="C829" s="142"/>
    </row>
    <row r="830">
      <c r="C830" s="142"/>
    </row>
    <row r="831">
      <c r="C831" s="142"/>
    </row>
    <row r="832">
      <c r="C832" s="142"/>
    </row>
    <row r="833">
      <c r="C833" s="142"/>
    </row>
    <row r="834">
      <c r="C834" s="142"/>
    </row>
    <row r="835">
      <c r="C835" s="142"/>
    </row>
    <row r="836">
      <c r="C836" s="142"/>
    </row>
    <row r="837">
      <c r="C837" s="142"/>
    </row>
    <row r="838">
      <c r="C838" s="142"/>
    </row>
    <row r="839">
      <c r="C839" s="142"/>
    </row>
    <row r="840">
      <c r="C840" s="142"/>
    </row>
    <row r="841">
      <c r="C841" s="142"/>
    </row>
    <row r="842">
      <c r="C842" s="142"/>
    </row>
    <row r="843">
      <c r="C843" s="142"/>
    </row>
    <row r="844">
      <c r="C844" s="142"/>
    </row>
    <row r="845">
      <c r="C845" s="142"/>
    </row>
    <row r="846">
      <c r="C846" s="142"/>
    </row>
    <row r="847">
      <c r="C847" s="142"/>
    </row>
    <row r="848">
      <c r="C848" s="142"/>
    </row>
    <row r="849">
      <c r="C849" s="142"/>
    </row>
    <row r="850">
      <c r="C850" s="142"/>
    </row>
    <row r="851">
      <c r="C851" s="142"/>
    </row>
    <row r="852">
      <c r="C852" s="142"/>
    </row>
    <row r="853">
      <c r="C853" s="142"/>
    </row>
    <row r="854">
      <c r="C854" s="142"/>
    </row>
    <row r="855">
      <c r="C855" s="142"/>
    </row>
    <row r="856">
      <c r="C856" s="142"/>
    </row>
    <row r="857">
      <c r="C857" s="142"/>
    </row>
    <row r="858">
      <c r="C858" s="142"/>
    </row>
    <row r="859">
      <c r="C859" s="142"/>
    </row>
    <row r="860">
      <c r="C860" s="142"/>
    </row>
    <row r="861">
      <c r="C861" s="142"/>
    </row>
    <row r="862">
      <c r="C862" s="142"/>
    </row>
    <row r="863">
      <c r="C863" s="142"/>
    </row>
    <row r="864">
      <c r="C864" s="142"/>
    </row>
    <row r="865">
      <c r="C865" s="142"/>
    </row>
    <row r="866">
      <c r="C866" s="142"/>
    </row>
    <row r="867">
      <c r="C867" s="142"/>
    </row>
    <row r="868">
      <c r="C868" s="142"/>
    </row>
    <row r="869">
      <c r="C869" s="142"/>
    </row>
    <row r="870">
      <c r="C870" s="142"/>
    </row>
    <row r="871">
      <c r="C871" s="142"/>
    </row>
    <row r="872">
      <c r="C872" s="142"/>
    </row>
    <row r="873">
      <c r="C873" s="142"/>
    </row>
    <row r="874">
      <c r="C874" s="142"/>
    </row>
    <row r="875">
      <c r="C875" s="142"/>
    </row>
    <row r="876">
      <c r="C876" s="142"/>
    </row>
    <row r="877">
      <c r="C877" s="142"/>
    </row>
    <row r="878">
      <c r="C878" s="142"/>
    </row>
    <row r="879">
      <c r="C879" s="142"/>
    </row>
    <row r="880">
      <c r="C880" s="142"/>
    </row>
    <row r="881">
      <c r="C881" s="142"/>
    </row>
    <row r="882">
      <c r="C882" s="142"/>
    </row>
    <row r="883">
      <c r="C883" s="142"/>
    </row>
    <row r="884">
      <c r="C884" s="142"/>
    </row>
    <row r="885">
      <c r="C885" s="142"/>
    </row>
    <row r="886">
      <c r="C886" s="142"/>
    </row>
    <row r="887">
      <c r="C887" s="142"/>
    </row>
    <row r="888">
      <c r="C888" s="142"/>
    </row>
    <row r="889">
      <c r="C889" s="142"/>
    </row>
    <row r="890">
      <c r="C890" s="142"/>
    </row>
    <row r="891">
      <c r="C891" s="142"/>
    </row>
    <row r="892">
      <c r="C892" s="142"/>
    </row>
    <row r="893">
      <c r="C893" s="142"/>
    </row>
    <row r="894">
      <c r="C894" s="142"/>
    </row>
    <row r="895">
      <c r="C895" s="142"/>
    </row>
    <row r="896">
      <c r="C896" s="142"/>
    </row>
    <row r="897">
      <c r="C897" s="142"/>
    </row>
    <row r="898">
      <c r="C898" s="142"/>
    </row>
    <row r="899">
      <c r="C899" s="142"/>
    </row>
    <row r="900">
      <c r="C900" s="142"/>
    </row>
    <row r="901">
      <c r="C901" s="142"/>
    </row>
    <row r="902">
      <c r="C902" s="142"/>
    </row>
    <row r="903">
      <c r="C903" s="142"/>
    </row>
    <row r="904">
      <c r="C904" s="142"/>
    </row>
    <row r="905">
      <c r="C905" s="142"/>
    </row>
    <row r="906">
      <c r="C906" s="142"/>
    </row>
    <row r="907">
      <c r="C907" s="142"/>
    </row>
    <row r="908">
      <c r="C908" s="142"/>
    </row>
    <row r="909">
      <c r="C909" s="142"/>
    </row>
    <row r="910">
      <c r="C910" s="142"/>
    </row>
    <row r="911">
      <c r="C911" s="142"/>
    </row>
    <row r="912">
      <c r="C912" s="142"/>
    </row>
    <row r="913">
      <c r="C913" s="142"/>
    </row>
    <row r="914">
      <c r="C914" s="142"/>
    </row>
    <row r="915">
      <c r="C915" s="142"/>
    </row>
    <row r="916">
      <c r="C916" s="142"/>
    </row>
    <row r="917">
      <c r="C917" s="142"/>
    </row>
    <row r="918">
      <c r="C918" s="142"/>
    </row>
    <row r="919">
      <c r="C919" s="142"/>
    </row>
    <row r="920">
      <c r="C920" s="142"/>
    </row>
    <row r="921">
      <c r="C921" s="142"/>
    </row>
    <row r="922">
      <c r="C922" s="142"/>
    </row>
    <row r="923">
      <c r="C923" s="142"/>
    </row>
    <row r="924">
      <c r="C924" s="142"/>
    </row>
    <row r="925">
      <c r="C925" s="142"/>
    </row>
    <row r="926">
      <c r="C926" s="142"/>
    </row>
    <row r="927">
      <c r="C927" s="142"/>
    </row>
    <row r="928">
      <c r="C928" s="142"/>
    </row>
    <row r="929">
      <c r="C929" s="142"/>
    </row>
    <row r="930">
      <c r="C930" s="142"/>
    </row>
    <row r="931">
      <c r="C931" s="142"/>
    </row>
    <row r="932">
      <c r="C932" s="142"/>
    </row>
    <row r="933">
      <c r="C933" s="142"/>
    </row>
    <row r="934">
      <c r="C934" s="142"/>
    </row>
    <row r="935">
      <c r="C935" s="142"/>
    </row>
    <row r="936">
      <c r="C936" s="142"/>
    </row>
    <row r="937">
      <c r="C937" s="142"/>
    </row>
    <row r="938">
      <c r="C938" s="142"/>
    </row>
    <row r="939">
      <c r="C939" s="142"/>
    </row>
    <row r="940">
      <c r="C940" s="142"/>
    </row>
    <row r="941">
      <c r="C941" s="142"/>
    </row>
    <row r="942">
      <c r="C942" s="142"/>
    </row>
    <row r="943">
      <c r="C943" s="142"/>
    </row>
    <row r="944">
      <c r="C944" s="142"/>
    </row>
    <row r="945">
      <c r="C945" s="142"/>
    </row>
    <row r="946">
      <c r="C946" s="142"/>
    </row>
    <row r="947">
      <c r="C947" s="142"/>
    </row>
    <row r="948">
      <c r="C948" s="142"/>
    </row>
    <row r="949">
      <c r="C949" s="142"/>
    </row>
    <row r="950">
      <c r="C950" s="142"/>
    </row>
    <row r="951">
      <c r="C951" s="142"/>
    </row>
    <row r="952">
      <c r="C952" s="142"/>
    </row>
    <row r="953">
      <c r="C953" s="142"/>
    </row>
    <row r="954">
      <c r="C954" s="142"/>
    </row>
    <row r="955">
      <c r="C955" s="142"/>
    </row>
    <row r="956">
      <c r="C956" s="142"/>
    </row>
    <row r="957">
      <c r="C957" s="142"/>
    </row>
    <row r="958">
      <c r="C958" s="142"/>
    </row>
    <row r="959">
      <c r="C959" s="142"/>
    </row>
    <row r="960">
      <c r="C960" s="142"/>
    </row>
    <row r="961">
      <c r="C961" s="142"/>
    </row>
    <row r="962">
      <c r="C962" s="142"/>
    </row>
    <row r="963">
      <c r="C963" s="142"/>
    </row>
    <row r="964">
      <c r="C964" s="142"/>
    </row>
    <row r="965">
      <c r="C965" s="142"/>
    </row>
    <row r="966">
      <c r="C966" s="142"/>
    </row>
    <row r="967">
      <c r="C967" s="142"/>
    </row>
    <row r="968">
      <c r="C968" s="142"/>
    </row>
    <row r="969">
      <c r="C969" s="142"/>
    </row>
    <row r="970">
      <c r="C970" s="142"/>
    </row>
    <row r="971">
      <c r="C971" s="142"/>
    </row>
    <row r="972">
      <c r="C972" s="142"/>
    </row>
    <row r="973">
      <c r="C973" s="142"/>
    </row>
    <row r="974">
      <c r="C974" s="142"/>
    </row>
    <row r="975">
      <c r="C975" s="142"/>
    </row>
    <row r="976">
      <c r="C976" s="142"/>
    </row>
    <row r="977">
      <c r="C977" s="142"/>
    </row>
    <row r="978">
      <c r="C978" s="142"/>
    </row>
    <row r="979">
      <c r="C979" s="142"/>
    </row>
    <row r="980">
      <c r="C980" s="142"/>
    </row>
    <row r="981">
      <c r="C981" s="142"/>
    </row>
    <row r="982">
      <c r="C982" s="142"/>
    </row>
    <row r="983">
      <c r="C983" s="142"/>
    </row>
    <row r="984">
      <c r="C984" s="142"/>
    </row>
    <row r="985">
      <c r="C985" s="142"/>
    </row>
    <row r="986">
      <c r="C986" s="142"/>
    </row>
    <row r="987">
      <c r="C987" s="142"/>
    </row>
    <row r="988">
      <c r="C988" s="142"/>
    </row>
    <row r="989">
      <c r="C989" s="142"/>
    </row>
    <row r="990">
      <c r="C990" s="142"/>
    </row>
    <row r="991">
      <c r="C991" s="142"/>
    </row>
    <row r="992">
      <c r="C992" s="142"/>
    </row>
    <row r="993">
      <c r="C993" s="142"/>
    </row>
    <row r="994">
      <c r="C994" s="142"/>
    </row>
    <row r="995">
      <c r="C995" s="142"/>
    </row>
    <row r="996">
      <c r="C996" s="142"/>
    </row>
    <row r="997">
      <c r="C997" s="142"/>
    </row>
    <row r="998">
      <c r="C998" s="142"/>
    </row>
    <row r="999">
      <c r="C999" s="142"/>
    </row>
    <row r="1000">
      <c r="C1000" s="14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57" t="s">
        <v>3157</v>
      </c>
    </row>
    <row r="2">
      <c r="A2" s="7" t="s">
        <v>20</v>
      </c>
      <c r="B2" s="142" t="s">
        <v>3158</v>
      </c>
    </row>
    <row r="3">
      <c r="A3" s="7" t="s">
        <v>20</v>
      </c>
      <c r="B3" s="142" t="s">
        <v>3159</v>
      </c>
    </row>
    <row r="4">
      <c r="A4" s="7" t="s">
        <v>28</v>
      </c>
      <c r="B4" s="7" t="s">
        <v>3158</v>
      </c>
    </row>
    <row r="5">
      <c r="A5" s="7" t="s">
        <v>35</v>
      </c>
      <c r="B5" s="7" t="s">
        <v>3160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6.5"/>
    <col customWidth="1" min="3" max="3" width="26.63"/>
    <col customWidth="1" min="4" max="4" width="150.13"/>
    <col customWidth="1" min="5" max="5" width="9.75"/>
    <col customWidth="1" min="6" max="7" width="11.13"/>
    <col customWidth="1" min="8" max="9" width="12.25"/>
    <col customWidth="1" min="10" max="10" width="9.75"/>
    <col customWidth="1" min="11" max="11" width="14.88"/>
    <col customWidth="1" min="12" max="12" width="9.75"/>
    <col customWidth="1" min="13" max="13" width="32.88"/>
    <col customWidth="1" min="14" max="14" width="7.63"/>
    <col customWidth="1" min="15" max="15" width="12.75"/>
    <col customWidth="1" min="16" max="16" width="20.0"/>
    <col customWidth="1" min="17" max="18" width="16.0"/>
    <col customWidth="1" min="19" max="19" width="6.5"/>
    <col customWidth="1" min="20" max="20" width="45.13"/>
    <col customWidth="1" min="21" max="21" width="6.5"/>
    <col customWidth="1" min="22" max="23" width="10.0"/>
    <col customWidth="1" min="24" max="24" width="11.13"/>
    <col customWidth="1" min="25" max="25" width="12.0"/>
    <col customWidth="1" min="26" max="26" width="6.5"/>
    <col customWidth="1" min="27" max="27" width="9.5"/>
    <col customWidth="1" min="28" max="28" width="12.0"/>
    <col customWidth="1" min="29" max="29" width="7.75"/>
    <col customWidth="1" min="30" max="30" width="9.13"/>
    <col customWidth="1" min="31" max="31" width="12.38"/>
    <col customWidth="1" min="32" max="32" width="6.25"/>
    <col customWidth="1" min="33" max="33" width="4.63"/>
    <col customWidth="1" min="34" max="34" width="8.5"/>
    <col customWidth="1" min="35" max="35" width="23.5"/>
    <col customWidth="1" min="36" max="36" width="7.25"/>
    <col customWidth="1" min="37" max="37" width="10.13"/>
    <col customWidth="1" min="38" max="38" width="31.88"/>
  </cols>
  <sheetData>
    <row r="1">
      <c r="A1" s="76" t="s">
        <v>0</v>
      </c>
      <c r="B1" s="76" t="s">
        <v>3161</v>
      </c>
      <c r="C1" s="1" t="s">
        <v>613</v>
      </c>
      <c r="D1" s="1" t="s">
        <v>3162</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row>
    <row r="2">
      <c r="A2" s="79"/>
      <c r="B2" s="79"/>
      <c r="C2" s="1"/>
      <c r="D2" s="1"/>
    </row>
    <row r="3">
      <c r="A3" s="79"/>
      <c r="B3" s="82" t="s">
        <v>3163</v>
      </c>
      <c r="C3" s="7" t="s">
        <v>454</v>
      </c>
      <c r="D3" s="164" t="s">
        <v>3164</v>
      </c>
    </row>
    <row r="4">
      <c r="A4" s="87"/>
      <c r="B4" s="165"/>
      <c r="C4" s="7" t="s">
        <v>492</v>
      </c>
      <c r="D4" s="136" t="s">
        <v>3165</v>
      </c>
    </row>
    <row r="5">
      <c r="A5" s="76"/>
      <c r="B5" s="165"/>
      <c r="C5" s="7" t="s">
        <v>429</v>
      </c>
      <c r="D5" s="7" t="s">
        <v>3166</v>
      </c>
    </row>
    <row r="6">
      <c r="A6" s="95"/>
      <c r="B6" s="165"/>
      <c r="C6" s="7" t="s">
        <v>474</v>
      </c>
      <c r="D6" s="7" t="s">
        <v>3167</v>
      </c>
    </row>
    <row r="7">
      <c r="A7" s="95" t="s">
        <v>229</v>
      </c>
      <c r="B7" s="165"/>
      <c r="C7" s="136" t="s">
        <v>229</v>
      </c>
      <c r="D7" s="136" t="s">
        <v>3168</v>
      </c>
    </row>
    <row r="8">
      <c r="A8" s="95"/>
      <c r="B8" s="165"/>
      <c r="C8" s="7" t="s">
        <v>512</v>
      </c>
      <c r="D8" s="7" t="s">
        <v>3169</v>
      </c>
    </row>
    <row r="9">
      <c r="A9" s="95"/>
      <c r="B9" s="165"/>
      <c r="C9" s="7" t="s">
        <v>548</v>
      </c>
      <c r="D9" s="7" t="s">
        <v>3170</v>
      </c>
    </row>
    <row r="10">
      <c r="A10" s="95"/>
      <c r="B10" s="82" t="s">
        <v>3171</v>
      </c>
      <c r="C10" s="142" t="s">
        <v>3172</v>
      </c>
      <c r="D10" s="7" t="s">
        <v>3173</v>
      </c>
    </row>
    <row r="11">
      <c r="A11" s="95"/>
      <c r="B11" s="95"/>
      <c r="C11" s="142" t="s">
        <v>3174</v>
      </c>
      <c r="D11" s="7" t="s">
        <v>3175</v>
      </c>
    </row>
    <row r="12">
      <c r="A12" s="95" t="s">
        <v>88</v>
      </c>
      <c r="B12" s="95"/>
      <c r="C12" s="166" t="s">
        <v>2331</v>
      </c>
      <c r="D12" s="7" t="s">
        <v>3176</v>
      </c>
    </row>
    <row r="13">
      <c r="A13" s="95"/>
      <c r="B13" s="95"/>
      <c r="C13" s="142" t="s">
        <v>3177</v>
      </c>
      <c r="D13" s="7" t="s">
        <v>3178</v>
      </c>
    </row>
    <row r="14">
      <c r="A14" s="95"/>
      <c r="B14" s="95"/>
      <c r="C14" s="142" t="s">
        <v>3179</v>
      </c>
      <c r="D14" s="7" t="s">
        <v>3180</v>
      </c>
    </row>
    <row r="15">
      <c r="A15" s="95"/>
      <c r="B15" s="95"/>
      <c r="C15" s="142" t="s">
        <v>3181</v>
      </c>
      <c r="D15" s="7" t="s">
        <v>3182</v>
      </c>
    </row>
    <row r="16">
      <c r="A16" s="95"/>
      <c r="B16" s="95"/>
      <c r="C16" s="142" t="s">
        <v>3183</v>
      </c>
      <c r="D16" s="7" t="s">
        <v>3184</v>
      </c>
    </row>
    <row r="17">
      <c r="A17" s="95"/>
      <c r="B17" s="95"/>
      <c r="C17" s="155" t="s">
        <v>3185</v>
      </c>
      <c r="D17" s="7" t="s">
        <v>3186</v>
      </c>
    </row>
    <row r="18">
      <c r="A18" s="95" t="s">
        <v>43</v>
      </c>
      <c r="B18" s="95"/>
      <c r="C18" s="166" t="s">
        <v>3187</v>
      </c>
      <c r="D18" s="7" t="s">
        <v>3188</v>
      </c>
    </row>
    <row r="19">
      <c r="A19" s="95"/>
      <c r="B19" s="77" t="s">
        <v>3189</v>
      </c>
      <c r="C19" s="7" t="s">
        <v>463</v>
      </c>
      <c r="D19" s="7" t="s">
        <v>3190</v>
      </c>
    </row>
    <row r="20">
      <c r="A20" s="95"/>
      <c r="B20" s="95"/>
      <c r="C20" s="7" t="s">
        <v>558</v>
      </c>
      <c r="D20" s="7" t="s">
        <v>3191</v>
      </c>
    </row>
    <row r="21">
      <c r="A21" s="95" t="s">
        <v>94</v>
      </c>
      <c r="B21" s="95"/>
      <c r="C21" s="136" t="s">
        <v>444</v>
      </c>
      <c r="D21" s="7" t="s">
        <v>3192</v>
      </c>
    </row>
    <row r="22">
      <c r="A22" s="95"/>
      <c r="B22" s="95"/>
      <c r="C22" s="7" t="s">
        <v>3193</v>
      </c>
      <c r="D22" s="7" t="s">
        <v>3194</v>
      </c>
    </row>
    <row r="23">
      <c r="A23" s="95"/>
      <c r="B23" s="95"/>
      <c r="C23" s="7" t="s">
        <v>538</v>
      </c>
      <c r="D23" s="7" t="s">
        <v>3195</v>
      </c>
    </row>
    <row r="24">
      <c r="A24" s="95"/>
      <c r="B24" s="95"/>
      <c r="C24" s="7" t="s">
        <v>482</v>
      </c>
      <c r="D24" s="7" t="s">
        <v>3196</v>
      </c>
    </row>
    <row r="25">
      <c r="A25" s="95"/>
      <c r="B25" s="76" t="s">
        <v>3197</v>
      </c>
      <c r="C25" s="7" t="s">
        <v>3198</v>
      </c>
      <c r="D25" s="7" t="s">
        <v>3199</v>
      </c>
    </row>
    <row r="26">
      <c r="A26" s="87"/>
      <c r="B26" s="87"/>
      <c r="C26" s="7" t="s">
        <v>3200</v>
      </c>
      <c r="D26" s="7" t="s">
        <v>3201</v>
      </c>
    </row>
    <row r="27">
      <c r="A27" s="76"/>
      <c r="B27" s="76"/>
      <c r="C27" s="7" t="s">
        <v>3202</v>
      </c>
      <c r="D27" s="7" t="s">
        <v>3203</v>
      </c>
      <c r="F27" s="1"/>
      <c r="G27" s="1" t="s">
        <v>3204</v>
      </c>
    </row>
    <row r="28">
      <c r="A28" s="95" t="s">
        <v>95</v>
      </c>
      <c r="B28" s="87"/>
      <c r="C28" s="136" t="s">
        <v>3205</v>
      </c>
      <c r="D28" s="7" t="s">
        <v>3206</v>
      </c>
    </row>
    <row r="29">
      <c r="A29" s="167"/>
      <c r="B29" s="167"/>
      <c r="C29" s="155" t="s">
        <v>3207</v>
      </c>
      <c r="D29" s="155" t="s">
        <v>3208</v>
      </c>
      <c r="E29" s="139" t="s">
        <v>455</v>
      </c>
      <c r="F29" s="168" t="s">
        <v>3209</v>
      </c>
      <c r="G29" s="169" t="s">
        <v>3210</v>
      </c>
    </row>
    <row r="30">
      <c r="A30" s="167"/>
      <c r="B30" s="167"/>
      <c r="C30" s="155" t="s">
        <v>3211</v>
      </c>
      <c r="D30" s="155" t="s">
        <v>3212</v>
      </c>
      <c r="E30" s="139" t="s">
        <v>3213</v>
      </c>
      <c r="F30" s="168" t="s">
        <v>3209</v>
      </c>
      <c r="G30" s="169" t="s">
        <v>3214</v>
      </c>
    </row>
    <row r="31">
      <c r="A31" s="167"/>
      <c r="B31" s="167"/>
      <c r="C31" s="155" t="s">
        <v>3215</v>
      </c>
      <c r="D31" s="155" t="s">
        <v>3216</v>
      </c>
      <c r="E31" s="139" t="s">
        <v>430</v>
      </c>
      <c r="F31" s="168" t="s">
        <v>3209</v>
      </c>
      <c r="G31" s="169" t="s">
        <v>3217</v>
      </c>
    </row>
    <row r="32">
      <c r="A32" s="167"/>
      <c r="B32" s="167"/>
      <c r="C32" s="155" t="s">
        <v>3218</v>
      </c>
      <c r="D32" s="155" t="s">
        <v>3219</v>
      </c>
      <c r="E32" s="139" t="s">
        <v>3220</v>
      </c>
      <c r="F32" s="168" t="s">
        <v>3209</v>
      </c>
      <c r="G32" s="169" t="s">
        <v>3221</v>
      </c>
    </row>
    <row r="33">
      <c r="A33" s="170" t="s">
        <v>62</v>
      </c>
      <c r="B33" s="167"/>
      <c r="C33" s="171" t="s">
        <v>3222</v>
      </c>
      <c r="D33" s="155" t="s">
        <v>3223</v>
      </c>
      <c r="E33" s="139" t="s">
        <v>3224</v>
      </c>
      <c r="F33" s="168" t="s">
        <v>3209</v>
      </c>
      <c r="G33" s="169" t="s">
        <v>3225</v>
      </c>
    </row>
    <row r="34">
      <c r="A34" s="167"/>
      <c r="B34" s="167"/>
      <c r="C34" s="155" t="s">
        <v>3226</v>
      </c>
      <c r="D34" s="155" t="s">
        <v>3227</v>
      </c>
      <c r="E34" s="139" t="s">
        <v>3228</v>
      </c>
      <c r="F34" s="168" t="s">
        <v>3209</v>
      </c>
      <c r="G34" s="169" t="s">
        <v>3229</v>
      </c>
    </row>
    <row r="35">
      <c r="A35" s="167"/>
      <c r="B35" s="167"/>
      <c r="C35" s="155" t="s">
        <v>3230</v>
      </c>
      <c r="D35" s="155" t="s">
        <v>3231</v>
      </c>
      <c r="E35" s="142" t="s">
        <v>3232</v>
      </c>
      <c r="F35" s="168" t="s">
        <v>3209</v>
      </c>
      <c r="G35" s="172" t="s">
        <v>3233</v>
      </c>
    </row>
    <row r="36">
      <c r="A36" s="170" t="s">
        <v>96</v>
      </c>
      <c r="B36" s="170"/>
      <c r="C36" s="171" t="s">
        <v>3234</v>
      </c>
      <c r="D36" s="155" t="s">
        <v>3235</v>
      </c>
      <c r="E36" s="155" t="s">
        <v>3236</v>
      </c>
      <c r="F36" s="168" t="s">
        <v>3209</v>
      </c>
      <c r="G36" s="168" t="s">
        <v>3237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7" width="25.13"/>
  </cols>
  <sheetData>
    <row r="1">
      <c r="A1" s="173" t="s">
        <v>514</v>
      </c>
      <c r="B1" s="173" t="s">
        <v>531</v>
      </c>
      <c r="C1" s="173" t="s">
        <v>550</v>
      </c>
      <c r="D1" s="173" t="s">
        <v>437</v>
      </c>
      <c r="E1" s="173" t="s">
        <v>457</v>
      </c>
      <c r="F1" s="173" t="s">
        <v>476</v>
      </c>
      <c r="G1" s="173" t="s">
        <v>494</v>
      </c>
    </row>
    <row r="2">
      <c r="A2" s="174" t="s">
        <v>3238</v>
      </c>
      <c r="D2" s="175"/>
      <c r="E2" s="175"/>
      <c r="F2" s="175"/>
      <c r="G2" s="176">
        <v>1686.0</v>
      </c>
    </row>
    <row r="3">
      <c r="A3" s="142"/>
      <c r="B3" s="142"/>
      <c r="C3" s="142"/>
      <c r="D3" s="142"/>
      <c r="E3" s="177">
        <v>1.0</v>
      </c>
      <c r="F3" s="178">
        <v>2.0</v>
      </c>
      <c r="G3" s="178">
        <v>3.0</v>
      </c>
    </row>
    <row r="4">
      <c r="A4" s="142"/>
      <c r="B4" s="142"/>
      <c r="C4" s="142"/>
      <c r="D4" s="142"/>
      <c r="E4" s="179"/>
      <c r="F4" s="180"/>
      <c r="G4" s="180"/>
    </row>
    <row r="5">
      <c r="A5" s="181">
        <v>4.0</v>
      </c>
      <c r="B5" s="181">
        <v>5.0</v>
      </c>
      <c r="C5" s="181">
        <v>6.0</v>
      </c>
      <c r="D5" s="181">
        <v>7.0</v>
      </c>
      <c r="E5" s="181">
        <v>8.0</v>
      </c>
      <c r="F5" s="178">
        <v>9.0</v>
      </c>
      <c r="G5" s="178">
        <v>10.0</v>
      </c>
    </row>
    <row r="6">
      <c r="A6" s="179"/>
      <c r="B6" s="179"/>
      <c r="C6" s="179"/>
      <c r="D6" s="179"/>
      <c r="E6" s="179"/>
      <c r="F6" s="182"/>
      <c r="G6" s="180"/>
    </row>
    <row r="7">
      <c r="A7" s="181">
        <v>11.0</v>
      </c>
      <c r="B7" s="181">
        <v>12.0</v>
      </c>
      <c r="C7" s="181">
        <v>13.0</v>
      </c>
      <c r="D7" s="181">
        <v>14.0</v>
      </c>
      <c r="E7" s="181">
        <v>15.0</v>
      </c>
      <c r="F7" s="178">
        <v>16.0</v>
      </c>
      <c r="G7" s="178">
        <v>17.0</v>
      </c>
    </row>
    <row r="8">
      <c r="A8" s="183" t="s">
        <v>3239</v>
      </c>
      <c r="B8" s="183" t="s">
        <v>3240</v>
      </c>
      <c r="C8" s="179"/>
      <c r="D8" s="184"/>
      <c r="E8" s="185"/>
      <c r="F8" s="186"/>
      <c r="G8" s="186"/>
    </row>
    <row r="9">
      <c r="A9" s="181">
        <v>18.0</v>
      </c>
      <c r="B9" s="181">
        <v>19.0</v>
      </c>
      <c r="C9" s="181">
        <v>20.0</v>
      </c>
      <c r="D9" s="181">
        <v>21.0</v>
      </c>
      <c r="E9" s="181">
        <v>22.0</v>
      </c>
      <c r="F9" s="178">
        <v>23.0</v>
      </c>
      <c r="G9" s="178">
        <v>24.0</v>
      </c>
    </row>
    <row r="10">
      <c r="A10" s="179"/>
      <c r="B10" s="179"/>
      <c r="C10" s="179"/>
      <c r="D10" s="179"/>
      <c r="E10" s="179"/>
      <c r="F10" s="180"/>
      <c r="G10" s="186"/>
    </row>
    <row r="11">
      <c r="A11" s="181">
        <v>25.0</v>
      </c>
      <c r="B11" s="181">
        <v>26.0</v>
      </c>
      <c r="C11" s="181">
        <v>27.0</v>
      </c>
      <c r="D11" s="181">
        <v>28.0</v>
      </c>
      <c r="E11" s="181">
        <v>29.0</v>
      </c>
      <c r="F11" s="187">
        <v>30.0</v>
      </c>
      <c r="G11" s="187"/>
    </row>
    <row r="12">
      <c r="A12" s="188"/>
      <c r="B12" s="179"/>
      <c r="C12" s="179"/>
      <c r="D12" s="179"/>
      <c r="E12" s="179"/>
      <c r="F12" s="189"/>
      <c r="G12" s="190"/>
    </row>
    <row r="13">
      <c r="A13" s="174" t="s">
        <v>3241</v>
      </c>
      <c r="D13" s="175"/>
      <c r="E13" s="175"/>
      <c r="F13" s="175"/>
      <c r="G13" s="176">
        <v>1686.0</v>
      </c>
    </row>
    <row r="14">
      <c r="A14" s="191"/>
      <c r="B14" s="191"/>
      <c r="C14" s="191"/>
      <c r="D14" s="191"/>
      <c r="E14" s="191"/>
      <c r="F14" s="191"/>
      <c r="G14" s="178">
        <v>1.0</v>
      </c>
    </row>
    <row r="15">
      <c r="A15" s="191"/>
      <c r="B15" s="191"/>
      <c r="C15" s="191"/>
      <c r="D15" s="191"/>
      <c r="E15" s="191"/>
      <c r="F15" s="191"/>
      <c r="G15" s="192"/>
    </row>
    <row r="16">
      <c r="A16" s="178">
        <v>2.0</v>
      </c>
      <c r="B16" s="178">
        <v>3.0</v>
      </c>
      <c r="C16" s="178">
        <v>4.0</v>
      </c>
      <c r="D16" s="178">
        <v>5.0</v>
      </c>
      <c r="E16" s="178">
        <v>6.0</v>
      </c>
      <c r="F16" s="178">
        <v>7.0</v>
      </c>
      <c r="G16" s="178">
        <v>8.0</v>
      </c>
    </row>
    <row r="17">
      <c r="A17" s="180"/>
      <c r="B17" s="180"/>
      <c r="C17" s="180"/>
      <c r="D17" s="180"/>
      <c r="E17" s="180"/>
      <c r="F17" s="180"/>
      <c r="G17" s="180"/>
    </row>
    <row r="18">
      <c r="A18" s="178">
        <v>9.0</v>
      </c>
      <c r="B18" s="178">
        <v>10.0</v>
      </c>
      <c r="C18" s="178">
        <v>11.0</v>
      </c>
      <c r="D18" s="178">
        <v>12.0</v>
      </c>
      <c r="E18" s="178">
        <v>13.0</v>
      </c>
      <c r="F18" s="178">
        <v>14.0</v>
      </c>
      <c r="G18" s="178">
        <v>15.0</v>
      </c>
    </row>
    <row r="19">
      <c r="A19" s="193"/>
      <c r="B19" s="180"/>
      <c r="C19" s="180"/>
      <c r="D19" s="193"/>
      <c r="E19" s="175"/>
      <c r="F19" s="175"/>
      <c r="G19" s="175"/>
    </row>
    <row r="20">
      <c r="A20" s="178">
        <v>16.0</v>
      </c>
      <c r="B20" s="178">
        <v>17.0</v>
      </c>
      <c r="C20" s="178">
        <v>18.0</v>
      </c>
      <c r="D20" s="178">
        <v>19.0</v>
      </c>
      <c r="E20" s="178">
        <v>20.0</v>
      </c>
      <c r="F20" s="178">
        <v>21.0</v>
      </c>
      <c r="G20" s="178">
        <v>22.0</v>
      </c>
    </row>
    <row r="21">
      <c r="A21" s="194"/>
      <c r="B21" s="175"/>
      <c r="C21" s="180"/>
      <c r="D21" s="195" t="s">
        <v>237</v>
      </c>
      <c r="E21" s="180"/>
      <c r="F21" s="180"/>
      <c r="G21" s="180"/>
    </row>
    <row r="22">
      <c r="A22" s="178">
        <v>23.0</v>
      </c>
      <c r="B22" s="178">
        <v>24.0</v>
      </c>
      <c r="C22" s="178">
        <v>25.0</v>
      </c>
      <c r="D22" s="178">
        <v>26.0</v>
      </c>
      <c r="E22" s="178">
        <v>27.0</v>
      </c>
      <c r="F22" s="178">
        <v>28.0</v>
      </c>
      <c r="G22" s="178">
        <v>29.0</v>
      </c>
    </row>
    <row r="23">
      <c r="A23" s="180"/>
      <c r="B23" s="180"/>
      <c r="C23" s="180"/>
      <c r="D23" s="180"/>
      <c r="E23" s="180"/>
      <c r="F23" s="180"/>
      <c r="G23" s="180"/>
    </row>
    <row r="24">
      <c r="A24" s="178">
        <v>30.0</v>
      </c>
      <c r="B24" s="178">
        <v>31.0</v>
      </c>
      <c r="C24" s="175"/>
      <c r="D24" s="175"/>
      <c r="E24" s="175"/>
      <c r="F24" s="175"/>
      <c r="G24" s="175"/>
    </row>
    <row r="25">
      <c r="A25" s="180"/>
      <c r="B25" s="180"/>
      <c r="C25" s="175"/>
      <c r="D25" s="175"/>
      <c r="E25" s="175"/>
      <c r="F25" s="175"/>
      <c r="G25" s="175"/>
    </row>
    <row r="26">
      <c r="A26" s="173" t="s">
        <v>514</v>
      </c>
      <c r="B26" s="173" t="s">
        <v>531</v>
      </c>
      <c r="C26" s="173" t="s">
        <v>550</v>
      </c>
      <c r="D26" s="173" t="s">
        <v>437</v>
      </c>
      <c r="E26" s="173" t="s">
        <v>457</v>
      </c>
      <c r="F26" s="173" t="s">
        <v>476</v>
      </c>
      <c r="G26" s="173" t="s">
        <v>494</v>
      </c>
    </row>
    <row r="27">
      <c r="A27" s="174" t="s">
        <v>3242</v>
      </c>
      <c r="D27" s="175"/>
      <c r="E27" s="175"/>
      <c r="F27" s="175"/>
      <c r="G27" s="176">
        <v>1687.0</v>
      </c>
    </row>
    <row r="28">
      <c r="A28" s="191"/>
      <c r="B28" s="191"/>
      <c r="C28" s="178">
        <v>1.0</v>
      </c>
      <c r="D28" s="178">
        <v>2.0</v>
      </c>
      <c r="E28" s="178">
        <v>3.0</v>
      </c>
      <c r="F28" s="178">
        <v>4.0</v>
      </c>
      <c r="G28" s="196">
        <v>5.0</v>
      </c>
    </row>
    <row r="29">
      <c r="A29" s="191"/>
      <c r="B29" s="191"/>
      <c r="C29" s="197"/>
      <c r="D29" s="197"/>
      <c r="E29" s="197"/>
      <c r="F29" s="197"/>
      <c r="G29" s="198"/>
    </row>
    <row r="30">
      <c r="A30" s="178">
        <v>6.0</v>
      </c>
      <c r="B30" s="178">
        <v>7.0</v>
      </c>
      <c r="C30" s="192">
        <v>8.0</v>
      </c>
      <c r="D30" s="192">
        <v>9.0</v>
      </c>
      <c r="E30" s="192">
        <v>10.0</v>
      </c>
      <c r="F30" s="192">
        <v>11.0</v>
      </c>
      <c r="G30" s="178">
        <v>12.0</v>
      </c>
    </row>
    <row r="31">
      <c r="A31" s="180"/>
      <c r="B31" s="180"/>
      <c r="C31" s="180"/>
      <c r="D31" s="180"/>
      <c r="E31" s="180"/>
      <c r="F31" s="180"/>
      <c r="G31" s="180"/>
    </row>
    <row r="32">
      <c r="A32" s="178">
        <v>13.0</v>
      </c>
      <c r="B32" s="178">
        <v>14.0</v>
      </c>
      <c r="C32" s="178">
        <v>15.0</v>
      </c>
      <c r="D32" s="178">
        <v>16.0</v>
      </c>
      <c r="E32" s="178">
        <v>17.0</v>
      </c>
      <c r="F32" s="178">
        <v>18.0</v>
      </c>
      <c r="G32" s="178">
        <v>19.0</v>
      </c>
    </row>
    <row r="33">
      <c r="A33" s="175"/>
      <c r="B33" s="175"/>
      <c r="C33" s="175"/>
      <c r="D33" s="193"/>
      <c r="E33" s="175"/>
      <c r="F33" s="175"/>
      <c r="G33" s="175"/>
    </row>
    <row r="34">
      <c r="A34" s="178">
        <v>20.0</v>
      </c>
      <c r="B34" s="178">
        <v>21.0</v>
      </c>
      <c r="C34" s="178">
        <v>22.0</v>
      </c>
      <c r="D34" s="178">
        <v>23.0</v>
      </c>
      <c r="E34" s="178">
        <v>24.0</v>
      </c>
      <c r="F34" s="178">
        <v>25.0</v>
      </c>
      <c r="G34" s="178">
        <v>26.0</v>
      </c>
    </row>
    <row r="35">
      <c r="A35" s="180"/>
      <c r="B35" s="180"/>
      <c r="C35" s="180"/>
      <c r="D35" s="195" t="s">
        <v>237</v>
      </c>
      <c r="E35" s="186"/>
      <c r="F35" s="186"/>
      <c r="G35" s="186"/>
    </row>
    <row r="36">
      <c r="A36" s="178">
        <v>27.0</v>
      </c>
      <c r="B36" s="178">
        <v>28.0</v>
      </c>
      <c r="C36" s="178">
        <v>29.0</v>
      </c>
      <c r="D36" s="187">
        <v>30.0</v>
      </c>
      <c r="E36" s="178">
        <v>31.0</v>
      </c>
      <c r="F36" s="199"/>
      <c r="G36" s="199"/>
    </row>
    <row r="37">
      <c r="A37" s="180"/>
      <c r="B37" s="180"/>
      <c r="C37" s="180"/>
      <c r="D37" s="189"/>
      <c r="E37" s="180"/>
      <c r="F37" s="175"/>
      <c r="G37" s="175"/>
    </row>
    <row r="38">
      <c r="A38" s="174" t="s">
        <v>3243</v>
      </c>
      <c r="D38" s="175"/>
      <c r="E38" s="175"/>
      <c r="F38" s="175"/>
      <c r="G38" s="176">
        <v>1687.0</v>
      </c>
    </row>
    <row r="39">
      <c r="A39" s="200"/>
      <c r="B39" s="200"/>
      <c r="C39" s="200"/>
      <c r="D39" s="200"/>
      <c r="E39" s="201"/>
      <c r="F39" s="196">
        <v>1.0</v>
      </c>
      <c r="G39" s="178">
        <v>2.0</v>
      </c>
    </row>
    <row r="40">
      <c r="A40" s="202"/>
      <c r="B40" s="202"/>
      <c r="C40" s="202"/>
      <c r="D40" s="202"/>
      <c r="E40" s="203"/>
      <c r="F40" s="203"/>
      <c r="G40" s="180"/>
    </row>
    <row r="41">
      <c r="A41" s="192">
        <v>3.0</v>
      </c>
      <c r="B41" s="192">
        <v>4.0</v>
      </c>
      <c r="C41" s="192">
        <v>5.0</v>
      </c>
      <c r="D41" s="192">
        <v>6.0</v>
      </c>
      <c r="E41" s="192">
        <v>7.0</v>
      </c>
      <c r="F41" s="178">
        <v>8.0</v>
      </c>
      <c r="G41" s="178">
        <v>9.0</v>
      </c>
    </row>
    <row r="42">
      <c r="A42" s="180"/>
      <c r="B42" s="180"/>
      <c r="C42" s="180"/>
      <c r="D42" s="180"/>
      <c r="E42" s="180"/>
      <c r="F42" s="180"/>
      <c r="G42" s="180"/>
    </row>
    <row r="43">
      <c r="A43" s="178">
        <v>10.0</v>
      </c>
      <c r="B43" s="178">
        <v>11.0</v>
      </c>
      <c r="C43" s="178">
        <v>12.0</v>
      </c>
      <c r="D43" s="178">
        <v>13.0</v>
      </c>
      <c r="E43" s="178">
        <v>14.0</v>
      </c>
      <c r="F43" s="178">
        <v>15.0</v>
      </c>
      <c r="G43" s="178">
        <v>16.0</v>
      </c>
    </row>
    <row r="44">
      <c r="A44" s="180"/>
      <c r="B44" s="193"/>
      <c r="C44" s="204"/>
      <c r="D44" s="204"/>
      <c r="E44" s="180"/>
      <c r="F44" s="195" t="s">
        <v>3244</v>
      </c>
      <c r="G44" s="204"/>
    </row>
    <row r="45">
      <c r="A45" s="178">
        <v>17.0</v>
      </c>
      <c r="B45" s="178">
        <v>18.0</v>
      </c>
      <c r="C45" s="178">
        <v>19.0</v>
      </c>
      <c r="D45" s="178">
        <v>20.0</v>
      </c>
      <c r="E45" s="178">
        <v>21.0</v>
      </c>
      <c r="F45" s="178">
        <v>22.0</v>
      </c>
      <c r="G45" s="178">
        <v>23.0</v>
      </c>
    </row>
    <row r="46">
      <c r="A46" s="204"/>
      <c r="B46" s="180"/>
      <c r="C46" s="180"/>
      <c r="D46" s="180"/>
      <c r="E46" s="180"/>
      <c r="F46" s="186"/>
      <c r="G46" s="205"/>
    </row>
    <row r="47">
      <c r="A47" s="178">
        <v>24.0</v>
      </c>
      <c r="B47" s="178">
        <v>25.0</v>
      </c>
      <c r="C47" s="178">
        <v>26.0</v>
      </c>
      <c r="D47" s="178">
        <v>27.0</v>
      </c>
      <c r="E47" s="187">
        <v>28.0</v>
      </c>
      <c r="F47" s="187"/>
      <c r="G47" s="199"/>
    </row>
    <row r="48">
      <c r="A48" s="204"/>
      <c r="B48" s="180"/>
      <c r="C48" s="180"/>
      <c r="D48" s="180"/>
      <c r="E48" s="189"/>
      <c r="F48" s="190"/>
      <c r="G48" s="206"/>
    </row>
    <row r="49">
      <c r="A49" s="174" t="s">
        <v>3245</v>
      </c>
      <c r="D49" s="175"/>
      <c r="E49" s="175"/>
      <c r="F49" s="175"/>
      <c r="G49" s="176">
        <v>1687.0</v>
      </c>
    </row>
    <row r="50">
      <c r="A50" s="200"/>
      <c r="B50" s="200"/>
      <c r="C50" s="200"/>
      <c r="D50" s="200"/>
      <c r="E50" s="201"/>
      <c r="F50" s="196">
        <v>1.0</v>
      </c>
      <c r="G50" s="178">
        <v>2.0</v>
      </c>
    </row>
    <row r="51">
      <c r="A51" s="202"/>
      <c r="B51" s="202"/>
      <c r="C51" s="202"/>
      <c r="D51" s="202"/>
      <c r="E51" s="203"/>
      <c r="F51" s="203"/>
      <c r="G51" s="180"/>
    </row>
    <row r="52">
      <c r="A52" s="192">
        <v>3.0</v>
      </c>
      <c r="B52" s="192">
        <v>4.0</v>
      </c>
      <c r="C52" s="192">
        <v>5.0</v>
      </c>
      <c r="D52" s="192">
        <v>6.0</v>
      </c>
      <c r="E52" s="192">
        <v>7.0</v>
      </c>
      <c r="F52" s="178">
        <v>8.0</v>
      </c>
      <c r="G52" s="178">
        <v>9.0</v>
      </c>
    </row>
    <row r="53">
      <c r="A53" s="180"/>
      <c r="B53" s="180"/>
      <c r="C53" s="180"/>
      <c r="D53" s="180"/>
      <c r="E53" s="180"/>
      <c r="F53" s="180"/>
      <c r="G53" s="180"/>
    </row>
    <row r="54">
      <c r="A54" s="178">
        <v>10.0</v>
      </c>
      <c r="B54" s="178">
        <v>11.0</v>
      </c>
      <c r="C54" s="178">
        <v>12.0</v>
      </c>
      <c r="D54" s="178">
        <v>13.0</v>
      </c>
      <c r="E54" s="178">
        <v>14.0</v>
      </c>
      <c r="F54" s="178">
        <v>15.0</v>
      </c>
      <c r="G54" s="178">
        <v>16.0</v>
      </c>
    </row>
    <row r="55">
      <c r="A55" s="180"/>
      <c r="B55" s="193"/>
      <c r="C55" s="204"/>
      <c r="D55" s="204"/>
      <c r="E55" s="180"/>
      <c r="F55" s="195" t="s">
        <v>3244</v>
      </c>
      <c r="G55" s="204"/>
    </row>
    <row r="56">
      <c r="A56" s="178">
        <v>17.0</v>
      </c>
      <c r="B56" s="178">
        <v>18.0</v>
      </c>
      <c r="C56" s="178">
        <v>19.0</v>
      </c>
      <c r="D56" s="178">
        <v>20.0</v>
      </c>
      <c r="E56" s="178">
        <v>21.0</v>
      </c>
      <c r="F56" s="178">
        <v>22.0</v>
      </c>
      <c r="G56" s="178">
        <v>23.0</v>
      </c>
    </row>
    <row r="57">
      <c r="A57" s="204"/>
      <c r="B57" s="180"/>
      <c r="C57" s="180"/>
      <c r="D57" s="180"/>
      <c r="E57" s="180"/>
      <c r="F57" s="180"/>
      <c r="G57" s="204"/>
    </row>
    <row r="58">
      <c r="A58" s="178">
        <v>24.0</v>
      </c>
      <c r="B58" s="178">
        <v>25.0</v>
      </c>
      <c r="C58" s="178">
        <v>26.0</v>
      </c>
      <c r="D58" s="178">
        <v>27.0</v>
      </c>
      <c r="E58" s="178">
        <v>28.0</v>
      </c>
      <c r="F58" s="178">
        <v>29.0</v>
      </c>
      <c r="G58" s="178">
        <v>30.0</v>
      </c>
    </row>
    <row r="59">
      <c r="A59" s="204"/>
      <c r="B59" s="180"/>
      <c r="C59" s="180"/>
      <c r="D59" s="180"/>
      <c r="E59" s="180"/>
      <c r="F59" s="180"/>
      <c r="G59" s="207"/>
    </row>
    <row r="60">
      <c r="A60" s="178">
        <v>31.0</v>
      </c>
      <c r="B60" s="174"/>
      <c r="C60" s="174"/>
      <c r="D60" s="175"/>
      <c r="E60" s="175"/>
      <c r="F60" s="175"/>
      <c r="G60" s="176"/>
    </row>
    <row r="61">
      <c r="A61" s="208"/>
      <c r="B61" s="174"/>
      <c r="C61" s="174"/>
      <c r="D61" s="175"/>
      <c r="E61" s="175"/>
      <c r="F61" s="175"/>
      <c r="G61" s="176"/>
    </row>
    <row r="62">
      <c r="A62" s="174"/>
      <c r="B62" s="174"/>
      <c r="C62" s="174"/>
      <c r="D62" s="175"/>
      <c r="E62" s="175"/>
      <c r="F62" s="175"/>
      <c r="G62" s="176"/>
    </row>
    <row r="63">
      <c r="A63" s="174"/>
      <c r="B63" s="174"/>
      <c r="C63" s="174"/>
      <c r="D63" s="175"/>
      <c r="E63" s="175"/>
      <c r="F63" s="175"/>
      <c r="G63" s="176"/>
    </row>
    <row r="64">
      <c r="A64" s="209" t="s">
        <v>3246</v>
      </c>
      <c r="D64" s="142"/>
      <c r="E64" s="142"/>
      <c r="F64" s="142"/>
      <c r="G64" s="210">
        <v>1687.0</v>
      </c>
    </row>
    <row r="65">
      <c r="A65" s="139"/>
      <c r="B65" s="181">
        <v>1.0</v>
      </c>
      <c r="C65" s="181">
        <v>2.0</v>
      </c>
      <c r="D65" s="177">
        <v>3.0</v>
      </c>
      <c r="E65" s="177">
        <v>4.0</v>
      </c>
      <c r="F65" s="177">
        <v>5.0</v>
      </c>
      <c r="G65" s="181">
        <v>6.0</v>
      </c>
    </row>
    <row r="66">
      <c r="A66" s="139"/>
      <c r="B66" s="188"/>
      <c r="C66" s="211"/>
      <c r="D66" s="212"/>
      <c r="E66" s="179"/>
      <c r="F66" s="179"/>
      <c r="G66" s="188"/>
    </row>
    <row r="67">
      <c r="A67" s="181">
        <v>7.0</v>
      </c>
      <c r="B67" s="181">
        <v>8.0</v>
      </c>
      <c r="C67" s="181">
        <v>9.0</v>
      </c>
      <c r="D67" s="177">
        <v>10.0</v>
      </c>
      <c r="E67" s="177">
        <v>11.0</v>
      </c>
      <c r="F67" s="177">
        <v>12.0</v>
      </c>
      <c r="G67" s="181">
        <v>13.0</v>
      </c>
    </row>
    <row r="68">
      <c r="A68" s="188"/>
      <c r="B68" s="188"/>
      <c r="C68" s="188"/>
      <c r="D68" s="179"/>
      <c r="E68" s="142"/>
      <c r="F68" s="142"/>
      <c r="G68" s="139"/>
    </row>
    <row r="69">
      <c r="A69" s="181">
        <v>14.0</v>
      </c>
      <c r="B69" s="181">
        <v>15.0</v>
      </c>
      <c r="C69" s="181">
        <v>16.0</v>
      </c>
      <c r="D69" s="177">
        <v>17.0</v>
      </c>
      <c r="E69" s="177">
        <v>18.0</v>
      </c>
      <c r="F69" s="177">
        <v>19.0</v>
      </c>
      <c r="G69" s="181">
        <v>20.0</v>
      </c>
    </row>
    <row r="70">
      <c r="A70" s="188"/>
      <c r="B70" s="188"/>
      <c r="C70" s="139"/>
      <c r="D70" s="179"/>
      <c r="E70" s="179"/>
      <c r="F70" s="179"/>
      <c r="G70" s="213"/>
    </row>
    <row r="71">
      <c r="A71" s="181">
        <v>21.0</v>
      </c>
      <c r="B71" s="181">
        <v>22.0</v>
      </c>
      <c r="C71" s="181">
        <v>23.0</v>
      </c>
      <c r="D71" s="177">
        <v>24.0</v>
      </c>
      <c r="E71" s="177">
        <v>25.0</v>
      </c>
      <c r="F71" s="177">
        <v>26.0</v>
      </c>
      <c r="G71" s="181">
        <v>27.0</v>
      </c>
    </row>
    <row r="72">
      <c r="A72" s="188"/>
      <c r="B72" s="188"/>
      <c r="C72" s="188"/>
      <c r="D72" s="214"/>
      <c r="E72" s="214"/>
      <c r="F72" s="214"/>
      <c r="G72" s="185"/>
    </row>
    <row r="73">
      <c r="A73" s="181">
        <v>28.0</v>
      </c>
      <c r="B73" s="181">
        <v>29.0</v>
      </c>
      <c r="C73" s="215">
        <v>30.0</v>
      </c>
      <c r="D73" s="216"/>
      <c r="E73" s="217"/>
      <c r="F73" s="217"/>
      <c r="G73" s="218"/>
    </row>
    <row r="74">
      <c r="A74" s="188"/>
      <c r="B74" s="188"/>
      <c r="C74" s="219"/>
      <c r="D74" s="220"/>
      <c r="E74" s="142"/>
      <c r="F74" s="142"/>
      <c r="G74" s="139"/>
    </row>
    <row r="75">
      <c r="A75" s="174" t="s">
        <v>3247</v>
      </c>
      <c r="D75" s="175"/>
      <c r="E75" s="175"/>
      <c r="F75" s="175"/>
      <c r="G75" s="176">
        <v>1687.0</v>
      </c>
    </row>
    <row r="76">
      <c r="A76" s="175"/>
      <c r="B76" s="175"/>
      <c r="C76" s="175"/>
      <c r="D76" s="178">
        <v>1.0</v>
      </c>
      <c r="E76" s="178">
        <v>2.0</v>
      </c>
      <c r="F76" s="178">
        <v>3.0</v>
      </c>
      <c r="G76" s="178">
        <v>4.0</v>
      </c>
    </row>
    <row r="77">
      <c r="A77" s="175"/>
      <c r="B77" s="175"/>
      <c r="C77" s="175"/>
      <c r="D77" s="221"/>
      <c r="E77" s="180"/>
      <c r="F77" s="180"/>
      <c r="G77" s="180"/>
    </row>
    <row r="78">
      <c r="A78" s="178">
        <v>5.0</v>
      </c>
      <c r="B78" s="178">
        <v>6.0</v>
      </c>
      <c r="C78" s="178">
        <v>7.0</v>
      </c>
      <c r="D78" s="178">
        <v>8.0</v>
      </c>
      <c r="E78" s="178">
        <v>9.0</v>
      </c>
      <c r="F78" s="178">
        <v>10.0</v>
      </c>
      <c r="G78" s="178">
        <v>11.0</v>
      </c>
    </row>
    <row r="79">
      <c r="A79" s="180"/>
      <c r="B79" s="180"/>
      <c r="C79" s="180"/>
      <c r="D79" s="180"/>
      <c r="E79" s="180"/>
      <c r="F79" s="180"/>
      <c r="G79" s="180"/>
    </row>
    <row r="80">
      <c r="A80" s="178">
        <v>12.0</v>
      </c>
      <c r="B80" s="178">
        <v>13.0</v>
      </c>
      <c r="C80" s="178">
        <v>14.0</v>
      </c>
      <c r="D80" s="178">
        <v>15.0</v>
      </c>
      <c r="E80" s="178">
        <v>16.0</v>
      </c>
      <c r="F80" s="178">
        <v>17.0</v>
      </c>
      <c r="G80" s="178">
        <v>18.0</v>
      </c>
    </row>
    <row r="81">
      <c r="A81" s="180"/>
      <c r="B81" s="180"/>
      <c r="C81" s="180"/>
      <c r="D81" s="180"/>
      <c r="E81" s="175"/>
      <c r="F81" s="175"/>
      <c r="G81" s="175"/>
    </row>
    <row r="82">
      <c r="A82" s="178">
        <v>19.0</v>
      </c>
      <c r="B82" s="178">
        <v>20.0</v>
      </c>
      <c r="C82" s="178">
        <v>21.0</v>
      </c>
      <c r="D82" s="178">
        <v>22.0</v>
      </c>
      <c r="E82" s="178">
        <v>23.0</v>
      </c>
      <c r="F82" s="178">
        <v>24.0</v>
      </c>
      <c r="G82" s="178">
        <v>25.0</v>
      </c>
    </row>
    <row r="83">
      <c r="A83" s="180"/>
      <c r="B83" s="180"/>
      <c r="C83" s="180"/>
      <c r="D83" s="180"/>
      <c r="E83" s="180"/>
      <c r="F83" s="180"/>
      <c r="G83" s="186"/>
    </row>
    <row r="84">
      <c r="A84" s="178">
        <v>26.0</v>
      </c>
      <c r="B84" s="178">
        <v>27.0</v>
      </c>
      <c r="C84" s="178">
        <v>28.0</v>
      </c>
      <c r="D84" s="178">
        <v>29.0</v>
      </c>
      <c r="E84" s="178">
        <v>30.0</v>
      </c>
      <c r="F84" s="187">
        <v>31.0</v>
      </c>
      <c r="G84" s="187"/>
    </row>
    <row r="85">
      <c r="A85" s="180"/>
      <c r="B85" s="180"/>
      <c r="C85" s="180"/>
      <c r="D85" s="180"/>
      <c r="E85" s="180"/>
      <c r="F85" s="189"/>
      <c r="G85" s="190"/>
    </row>
    <row r="86">
      <c r="A86" s="174" t="s">
        <v>3248</v>
      </c>
      <c r="D86" s="175"/>
      <c r="E86" s="175"/>
      <c r="F86" s="175"/>
      <c r="G86" s="176">
        <v>1687.0</v>
      </c>
    </row>
    <row r="87">
      <c r="A87" s="191"/>
      <c r="B87" s="191"/>
      <c r="C87" s="191"/>
      <c r="D87" s="191"/>
      <c r="E87" s="191"/>
      <c r="F87" s="191"/>
      <c r="G87" s="178">
        <v>1.0</v>
      </c>
    </row>
    <row r="88">
      <c r="A88" s="191"/>
      <c r="B88" s="191"/>
      <c r="C88" s="191"/>
      <c r="D88" s="191"/>
      <c r="E88" s="191"/>
      <c r="F88" s="191"/>
      <c r="G88" s="192"/>
    </row>
    <row r="89">
      <c r="A89" s="178">
        <v>2.0</v>
      </c>
      <c r="B89" s="178">
        <v>3.0</v>
      </c>
      <c r="C89" s="178">
        <v>4.0</v>
      </c>
      <c r="D89" s="178">
        <v>5.0</v>
      </c>
      <c r="E89" s="178">
        <v>6.0</v>
      </c>
      <c r="F89" s="178">
        <v>7.0</v>
      </c>
      <c r="G89" s="178">
        <v>8.0</v>
      </c>
    </row>
    <row r="90">
      <c r="A90" s="180"/>
      <c r="B90" s="180"/>
      <c r="C90" s="180"/>
      <c r="D90" s="180"/>
      <c r="E90" s="180"/>
      <c r="F90" s="180"/>
      <c r="G90" s="180"/>
    </row>
    <row r="91">
      <c r="A91" s="178">
        <v>9.0</v>
      </c>
      <c r="B91" s="178">
        <v>10.0</v>
      </c>
      <c r="C91" s="178">
        <v>11.0</v>
      </c>
      <c r="D91" s="178">
        <v>12.0</v>
      </c>
      <c r="E91" s="178">
        <v>13.0</v>
      </c>
      <c r="F91" s="178">
        <v>14.0</v>
      </c>
      <c r="G91" s="178">
        <v>15.0</v>
      </c>
    </row>
    <row r="92">
      <c r="A92" s="193"/>
      <c r="B92" s="180"/>
      <c r="C92" s="180"/>
      <c r="D92" s="193"/>
      <c r="E92" s="175"/>
      <c r="F92" s="175"/>
      <c r="G92" s="175"/>
    </row>
    <row r="93">
      <c r="A93" s="178">
        <v>16.0</v>
      </c>
      <c r="B93" s="178">
        <v>17.0</v>
      </c>
      <c r="C93" s="178">
        <v>18.0</v>
      </c>
      <c r="D93" s="178">
        <v>19.0</v>
      </c>
      <c r="E93" s="178">
        <v>20.0</v>
      </c>
      <c r="F93" s="178">
        <v>21.0</v>
      </c>
      <c r="G93" s="178">
        <v>22.0</v>
      </c>
    </row>
    <row r="94">
      <c r="A94" s="194"/>
      <c r="B94" s="175"/>
      <c r="C94" s="180"/>
      <c r="D94" s="195" t="s">
        <v>237</v>
      </c>
      <c r="E94" s="180"/>
      <c r="F94" s="180"/>
      <c r="G94" s="180"/>
    </row>
    <row r="95">
      <c r="A95" s="178">
        <v>23.0</v>
      </c>
      <c r="B95" s="178">
        <v>24.0</v>
      </c>
      <c r="C95" s="178">
        <v>25.0</v>
      </c>
      <c r="D95" s="178">
        <v>26.0</v>
      </c>
      <c r="E95" s="178">
        <v>27.0</v>
      </c>
      <c r="F95" s="178">
        <v>28.0</v>
      </c>
      <c r="G95" s="178">
        <v>29.0</v>
      </c>
    </row>
    <row r="96">
      <c r="A96" s="180"/>
      <c r="B96" s="222" t="s">
        <v>3249</v>
      </c>
      <c r="C96" s="180"/>
      <c r="D96" s="180"/>
      <c r="E96" s="180"/>
      <c r="F96" s="180"/>
      <c r="G96" s="180"/>
    </row>
    <row r="97">
      <c r="A97" s="187">
        <v>30.0</v>
      </c>
      <c r="B97" s="187"/>
      <c r="C97" s="175"/>
      <c r="D97" s="175"/>
      <c r="E97" s="175"/>
      <c r="F97" s="175"/>
      <c r="G97" s="175"/>
    </row>
    <row r="98">
      <c r="A98" s="189"/>
      <c r="B98" s="190"/>
      <c r="C98" s="175"/>
      <c r="D98" s="175"/>
      <c r="E98" s="175"/>
      <c r="F98" s="175"/>
      <c r="G98" s="175"/>
    </row>
    <row r="99">
      <c r="A99" s="209" t="s">
        <v>3250</v>
      </c>
      <c r="D99" s="142"/>
      <c r="E99" s="142"/>
      <c r="F99" s="142"/>
      <c r="G99" s="210">
        <v>1687.0</v>
      </c>
    </row>
    <row r="100">
      <c r="A100" s="139"/>
      <c r="B100" s="181">
        <v>1.0</v>
      </c>
      <c r="C100" s="181">
        <v>2.0</v>
      </c>
      <c r="D100" s="177">
        <v>3.0</v>
      </c>
      <c r="E100" s="177">
        <v>4.0</v>
      </c>
      <c r="F100" s="177">
        <v>5.0</v>
      </c>
      <c r="G100" s="181">
        <v>6.0</v>
      </c>
    </row>
    <row r="101">
      <c r="A101" s="139"/>
      <c r="B101" s="188"/>
      <c r="C101" s="211"/>
      <c r="D101" s="212"/>
      <c r="E101" s="179"/>
      <c r="F101" s="179"/>
      <c r="G101" s="188"/>
    </row>
    <row r="102">
      <c r="A102" s="181">
        <v>7.0</v>
      </c>
      <c r="B102" s="181">
        <v>8.0</v>
      </c>
      <c r="C102" s="181">
        <v>9.0</v>
      </c>
      <c r="D102" s="177">
        <v>10.0</v>
      </c>
      <c r="E102" s="177">
        <v>11.0</v>
      </c>
      <c r="F102" s="177">
        <v>12.0</v>
      </c>
      <c r="G102" s="181">
        <v>13.0</v>
      </c>
    </row>
    <row r="103">
      <c r="A103" s="188"/>
      <c r="B103" s="188"/>
      <c r="C103" s="188"/>
      <c r="D103" s="179"/>
      <c r="E103" s="142"/>
      <c r="F103" s="142"/>
      <c r="G103" s="139"/>
    </row>
    <row r="104">
      <c r="A104" s="181">
        <v>14.0</v>
      </c>
      <c r="B104" s="181">
        <v>15.0</v>
      </c>
      <c r="C104" s="181">
        <v>16.0</v>
      </c>
      <c r="D104" s="177">
        <v>17.0</v>
      </c>
      <c r="E104" s="177">
        <v>18.0</v>
      </c>
      <c r="F104" s="177">
        <v>19.0</v>
      </c>
      <c r="G104" s="181">
        <v>20.0</v>
      </c>
    </row>
    <row r="105">
      <c r="A105" s="188"/>
      <c r="B105" s="188"/>
      <c r="C105" s="139"/>
      <c r="D105" s="179"/>
      <c r="E105" s="179"/>
      <c r="F105" s="179"/>
      <c r="G105" s="213"/>
    </row>
    <row r="106">
      <c r="A106" s="181">
        <v>21.0</v>
      </c>
      <c r="B106" s="181">
        <v>22.0</v>
      </c>
      <c r="C106" s="181">
        <v>23.0</v>
      </c>
      <c r="D106" s="177">
        <v>24.0</v>
      </c>
      <c r="E106" s="177">
        <v>25.0</v>
      </c>
      <c r="F106" s="177">
        <v>26.0</v>
      </c>
      <c r="G106" s="181">
        <v>27.0</v>
      </c>
    </row>
    <row r="107">
      <c r="A107" s="188"/>
      <c r="B107" s="188"/>
      <c r="C107" s="188"/>
      <c r="D107" s="214"/>
      <c r="E107" s="214"/>
      <c r="F107" s="214"/>
      <c r="G107" s="185"/>
    </row>
    <row r="108">
      <c r="A108" s="181">
        <v>28.0</v>
      </c>
      <c r="B108" s="181">
        <v>29.0</v>
      </c>
      <c r="C108" s="215">
        <v>30.0</v>
      </c>
      <c r="D108" s="223">
        <v>31.0</v>
      </c>
      <c r="E108" s="217"/>
      <c r="F108" s="217"/>
      <c r="G108" s="218"/>
    </row>
    <row r="109">
      <c r="A109" s="188"/>
      <c r="B109" s="188"/>
      <c r="C109" s="219"/>
      <c r="D109" s="179"/>
      <c r="E109" s="142"/>
      <c r="F109" s="142"/>
      <c r="G109" s="139"/>
    </row>
    <row r="110">
      <c r="A110" s="174" t="s">
        <v>3251</v>
      </c>
      <c r="D110" s="175"/>
      <c r="E110" s="175"/>
      <c r="F110" s="175"/>
      <c r="G110" s="176">
        <v>1687.0</v>
      </c>
    </row>
    <row r="111">
      <c r="A111" s="142"/>
      <c r="B111" s="142"/>
      <c r="C111" s="142"/>
      <c r="D111" s="142"/>
      <c r="E111" s="177">
        <v>1.0</v>
      </c>
      <c r="F111" s="178">
        <v>2.0</v>
      </c>
      <c r="G111" s="178">
        <v>3.0</v>
      </c>
    </row>
    <row r="112">
      <c r="A112" s="142"/>
      <c r="B112" s="142"/>
      <c r="C112" s="142"/>
      <c r="D112" s="142"/>
      <c r="E112" s="179"/>
      <c r="F112" s="180"/>
      <c r="G112" s="180"/>
    </row>
    <row r="113">
      <c r="A113" s="181">
        <v>4.0</v>
      </c>
      <c r="B113" s="181">
        <v>5.0</v>
      </c>
      <c r="C113" s="181">
        <v>6.0</v>
      </c>
      <c r="D113" s="181">
        <v>7.0</v>
      </c>
      <c r="E113" s="181">
        <v>8.0</v>
      </c>
      <c r="F113" s="178">
        <v>9.0</v>
      </c>
      <c r="G113" s="178">
        <v>10.0</v>
      </c>
    </row>
    <row r="114">
      <c r="A114" s="179"/>
      <c r="B114" s="179"/>
      <c r="C114" s="179"/>
      <c r="D114" s="179"/>
      <c r="E114" s="179"/>
      <c r="F114" s="182" t="s">
        <v>1090</v>
      </c>
      <c r="G114" s="182" t="s">
        <v>3252</v>
      </c>
    </row>
    <row r="115">
      <c r="A115" s="181">
        <v>11.0</v>
      </c>
      <c r="B115" s="181">
        <v>12.0</v>
      </c>
      <c r="C115" s="181">
        <v>13.0</v>
      </c>
      <c r="D115" s="181">
        <v>14.0</v>
      </c>
      <c r="E115" s="181">
        <v>15.0</v>
      </c>
      <c r="F115" s="178">
        <v>16.0</v>
      </c>
      <c r="G115" s="178">
        <v>17.0</v>
      </c>
    </row>
    <row r="116">
      <c r="A116" s="224" t="s">
        <v>3253</v>
      </c>
      <c r="B116" s="179"/>
      <c r="C116" s="225" t="s">
        <v>3254</v>
      </c>
      <c r="D116" s="225" t="s">
        <v>3255</v>
      </c>
      <c r="E116" s="185"/>
      <c r="F116" s="186"/>
      <c r="G116" s="186"/>
    </row>
    <row r="117">
      <c r="A117" s="181">
        <v>18.0</v>
      </c>
      <c r="B117" s="181">
        <v>19.0</v>
      </c>
      <c r="C117" s="181">
        <v>20.0</v>
      </c>
      <c r="D117" s="181">
        <v>21.0</v>
      </c>
      <c r="E117" s="181">
        <v>22.0</v>
      </c>
      <c r="F117" s="178">
        <v>23.0</v>
      </c>
      <c r="G117" s="178">
        <v>24.0</v>
      </c>
    </row>
    <row r="118">
      <c r="A118" s="179"/>
      <c r="B118" s="179"/>
      <c r="C118" s="179"/>
      <c r="D118" s="179"/>
      <c r="E118" s="179"/>
      <c r="F118" s="180"/>
      <c r="G118" s="180"/>
    </row>
    <row r="119">
      <c r="A119" s="181">
        <v>25.0</v>
      </c>
      <c r="B119" s="181">
        <v>26.0</v>
      </c>
      <c r="C119" s="181">
        <v>27.0</v>
      </c>
      <c r="D119" s="181">
        <v>28.0</v>
      </c>
      <c r="E119" s="181">
        <v>29.0</v>
      </c>
      <c r="F119" s="178">
        <v>30.0</v>
      </c>
      <c r="G119" s="178">
        <v>31.0</v>
      </c>
    </row>
    <row r="120">
      <c r="A120" s="188"/>
      <c r="B120" s="179"/>
      <c r="C120" s="179"/>
      <c r="D120" s="179"/>
      <c r="E120" s="179"/>
      <c r="F120" s="180"/>
      <c r="G120" s="180"/>
    </row>
    <row r="121">
      <c r="A121" s="174"/>
      <c r="B121" s="174"/>
      <c r="C121" s="174"/>
      <c r="D121" s="175"/>
      <c r="E121" s="175"/>
      <c r="F121" s="175"/>
      <c r="G121" s="176"/>
    </row>
    <row r="122">
      <c r="A122" s="174"/>
      <c r="B122" s="174"/>
      <c r="C122" s="174"/>
      <c r="D122" s="175"/>
      <c r="E122" s="175"/>
      <c r="F122" s="175"/>
      <c r="G122" s="176"/>
    </row>
    <row r="123">
      <c r="A123" s="174" t="s">
        <v>3256</v>
      </c>
      <c r="D123" s="175"/>
      <c r="E123" s="175"/>
      <c r="F123" s="175"/>
      <c r="G123" s="176">
        <v>1687.0</v>
      </c>
    </row>
    <row r="124">
      <c r="A124" s="178">
        <v>1.0</v>
      </c>
      <c r="B124" s="178">
        <v>2.0</v>
      </c>
      <c r="C124" s="178">
        <v>3.0</v>
      </c>
      <c r="D124" s="178">
        <v>4.0</v>
      </c>
      <c r="E124" s="178">
        <v>5.0</v>
      </c>
      <c r="F124" s="178">
        <v>6.0</v>
      </c>
      <c r="G124" s="178">
        <v>7.0</v>
      </c>
    </row>
    <row r="125">
      <c r="A125" s="175"/>
      <c r="B125" s="226" t="s">
        <v>3257</v>
      </c>
      <c r="C125" s="193" t="s">
        <v>3258</v>
      </c>
      <c r="D125" s="180"/>
      <c r="E125" s="180"/>
      <c r="F125" s="204"/>
      <c r="G125" s="180"/>
    </row>
    <row r="126">
      <c r="A126" s="178">
        <v>8.0</v>
      </c>
      <c r="B126" s="178">
        <v>9.0</v>
      </c>
      <c r="C126" s="178">
        <v>10.0</v>
      </c>
      <c r="D126" s="178">
        <v>11.0</v>
      </c>
      <c r="E126" s="178">
        <v>12.0</v>
      </c>
      <c r="F126" s="178">
        <v>13.0</v>
      </c>
      <c r="G126" s="178">
        <v>14.0</v>
      </c>
    </row>
    <row r="127">
      <c r="A127" s="180"/>
      <c r="B127" s="180"/>
      <c r="C127" s="180"/>
      <c r="D127" s="180"/>
      <c r="E127" s="193"/>
      <c r="F127" s="195" t="s">
        <v>195</v>
      </c>
      <c r="G127" s="204"/>
    </row>
    <row r="128">
      <c r="A128" s="178">
        <v>15.0</v>
      </c>
      <c r="B128" s="178">
        <v>16.0</v>
      </c>
      <c r="C128" s="178">
        <v>17.0</v>
      </c>
      <c r="D128" s="178">
        <v>18.0</v>
      </c>
      <c r="E128" s="178">
        <v>19.0</v>
      </c>
      <c r="F128" s="178">
        <v>20.0</v>
      </c>
      <c r="G128" s="178">
        <v>21.0</v>
      </c>
    </row>
    <row r="129">
      <c r="A129" s="193"/>
      <c r="B129" s="180"/>
      <c r="C129" s="180"/>
      <c r="D129" s="180"/>
      <c r="E129" s="180"/>
      <c r="F129" s="175"/>
      <c r="G129" s="175"/>
    </row>
    <row r="130">
      <c r="A130" s="178">
        <v>22.0</v>
      </c>
      <c r="B130" s="178">
        <v>23.0</v>
      </c>
      <c r="C130" s="178">
        <v>24.0</v>
      </c>
      <c r="D130" s="178">
        <v>25.0</v>
      </c>
      <c r="E130" s="178">
        <v>26.0</v>
      </c>
      <c r="F130" s="178">
        <v>27.0</v>
      </c>
      <c r="G130" s="178">
        <v>28.0</v>
      </c>
    </row>
    <row r="131">
      <c r="A131" s="180"/>
      <c r="B131" s="180"/>
      <c r="C131" s="186"/>
      <c r="D131" s="205"/>
      <c r="E131" s="204"/>
      <c r="F131" s="180"/>
      <c r="G131" s="180"/>
    </row>
    <row r="132">
      <c r="A132" s="178">
        <v>29.0</v>
      </c>
      <c r="B132" s="187">
        <v>30.0</v>
      </c>
      <c r="C132" s="187"/>
      <c r="D132" s="199"/>
      <c r="E132" s="175"/>
      <c r="F132" s="175"/>
      <c r="G132" s="175"/>
    </row>
    <row r="133">
      <c r="A133" s="180"/>
      <c r="B133" s="189"/>
      <c r="C133" s="190"/>
      <c r="D133" s="175"/>
      <c r="E133" s="175"/>
      <c r="F133" s="175"/>
      <c r="G133" s="175"/>
    </row>
    <row r="134">
      <c r="A134" s="174" t="s">
        <v>3259</v>
      </c>
      <c r="D134" s="175"/>
      <c r="E134" s="175"/>
      <c r="F134" s="175"/>
      <c r="G134" s="176">
        <v>1687.0</v>
      </c>
    </row>
    <row r="135">
      <c r="A135" s="191"/>
      <c r="B135" s="191"/>
      <c r="C135" s="178">
        <v>1.0</v>
      </c>
      <c r="D135" s="178">
        <v>2.0</v>
      </c>
      <c r="E135" s="178">
        <v>3.0</v>
      </c>
      <c r="F135" s="178">
        <v>4.0</v>
      </c>
      <c r="G135" s="196">
        <v>5.0</v>
      </c>
    </row>
    <row r="136">
      <c r="A136" s="191"/>
      <c r="B136" s="191"/>
      <c r="C136" s="197"/>
      <c r="D136" s="197"/>
      <c r="E136" s="197"/>
      <c r="F136" s="197"/>
      <c r="G136" s="198"/>
    </row>
    <row r="137">
      <c r="A137" s="178">
        <v>6.0</v>
      </c>
      <c r="B137" s="178">
        <v>7.0</v>
      </c>
      <c r="C137" s="192">
        <v>8.0</v>
      </c>
      <c r="D137" s="192">
        <v>9.0</v>
      </c>
      <c r="E137" s="192">
        <v>10.0</v>
      </c>
      <c r="F137" s="192">
        <v>11.0</v>
      </c>
      <c r="G137" s="178">
        <v>12.0</v>
      </c>
    </row>
    <row r="138">
      <c r="A138" s="180"/>
      <c r="B138" s="180"/>
      <c r="C138" s="180"/>
      <c r="D138" s="180"/>
      <c r="E138" s="180"/>
      <c r="F138" s="180"/>
      <c r="G138" s="180"/>
    </row>
    <row r="139">
      <c r="A139" s="178">
        <v>13.0</v>
      </c>
      <c r="B139" s="178">
        <v>14.0</v>
      </c>
      <c r="C139" s="178">
        <v>15.0</v>
      </c>
      <c r="D139" s="178">
        <v>16.0</v>
      </c>
      <c r="E139" s="178">
        <v>17.0</v>
      </c>
      <c r="F139" s="178">
        <v>18.0</v>
      </c>
      <c r="G139" s="178">
        <v>19.0</v>
      </c>
    </row>
    <row r="140">
      <c r="A140" s="175"/>
      <c r="B140" s="175"/>
      <c r="C140" s="175"/>
      <c r="D140" s="193"/>
      <c r="E140" s="175"/>
      <c r="F140" s="175"/>
      <c r="G140" s="175"/>
    </row>
    <row r="141">
      <c r="A141" s="178">
        <v>20.0</v>
      </c>
      <c r="B141" s="178">
        <v>21.0</v>
      </c>
      <c r="C141" s="178">
        <v>22.0</v>
      </c>
      <c r="D141" s="178">
        <v>23.0</v>
      </c>
      <c r="E141" s="178">
        <v>24.0</v>
      </c>
      <c r="F141" s="178">
        <v>25.0</v>
      </c>
      <c r="G141" s="178">
        <v>26.0</v>
      </c>
    </row>
    <row r="142">
      <c r="A142" s="180"/>
      <c r="B142" s="180"/>
      <c r="C142" s="180"/>
      <c r="D142" s="195" t="s">
        <v>237</v>
      </c>
      <c r="E142" s="186"/>
      <c r="F142" s="186"/>
      <c r="G142" s="186"/>
    </row>
    <row r="143">
      <c r="A143" s="178">
        <v>27.0</v>
      </c>
      <c r="B143" s="178">
        <v>28.0</v>
      </c>
      <c r="C143" s="178">
        <v>29.0</v>
      </c>
      <c r="D143" s="187">
        <v>30.0</v>
      </c>
      <c r="E143" s="178">
        <v>31.0</v>
      </c>
      <c r="F143" s="199"/>
      <c r="G143" s="199"/>
    </row>
    <row r="144">
      <c r="A144" s="180"/>
      <c r="B144" s="180"/>
      <c r="C144" s="180"/>
      <c r="D144" s="189"/>
      <c r="E144" s="193" t="s">
        <v>3260</v>
      </c>
      <c r="F144" s="175"/>
      <c r="G144" s="175"/>
    </row>
    <row r="145">
      <c r="A145" s="174" t="s">
        <v>3238</v>
      </c>
      <c r="D145" s="175"/>
      <c r="E145" s="175"/>
      <c r="F145" s="175"/>
      <c r="G145" s="176">
        <v>1687.0</v>
      </c>
    </row>
    <row r="146">
      <c r="A146" s="227">
        <v>27.0</v>
      </c>
      <c r="B146" s="227">
        <v>28.0</v>
      </c>
      <c r="C146" s="227">
        <v>29.0</v>
      </c>
      <c r="D146" s="227">
        <v>30.0</v>
      </c>
      <c r="E146" s="227">
        <v>31.0</v>
      </c>
      <c r="F146" s="178">
        <v>1.0</v>
      </c>
      <c r="G146" s="178">
        <v>2.0</v>
      </c>
    </row>
    <row r="147">
      <c r="A147" s="180"/>
      <c r="B147" s="180"/>
      <c r="C147" s="180"/>
      <c r="D147" s="180"/>
      <c r="E147" s="180"/>
      <c r="F147" s="180"/>
      <c r="G147" s="180"/>
    </row>
    <row r="148">
      <c r="A148" s="178">
        <v>3.0</v>
      </c>
      <c r="B148" s="178">
        <v>4.0</v>
      </c>
      <c r="C148" s="178">
        <v>5.0</v>
      </c>
      <c r="D148" s="178">
        <v>6.0</v>
      </c>
      <c r="E148" s="178">
        <v>7.0</v>
      </c>
      <c r="F148" s="178">
        <v>8.0</v>
      </c>
      <c r="G148" s="178">
        <v>9.0</v>
      </c>
    </row>
    <row r="149">
      <c r="A149" s="180"/>
      <c r="B149" s="180"/>
      <c r="C149" s="180"/>
      <c r="D149" s="180"/>
      <c r="E149" s="180"/>
      <c r="F149" s="180"/>
      <c r="G149" s="180"/>
    </row>
    <row r="150">
      <c r="A150" s="178">
        <v>10.0</v>
      </c>
      <c r="B150" s="178">
        <v>11.0</v>
      </c>
      <c r="C150" s="178">
        <v>12.0</v>
      </c>
      <c r="D150" s="178">
        <v>13.0</v>
      </c>
      <c r="E150" s="178">
        <v>14.0</v>
      </c>
      <c r="F150" s="178">
        <v>15.0</v>
      </c>
      <c r="G150" s="178">
        <v>16.0</v>
      </c>
    </row>
    <row r="151">
      <c r="A151" s="180"/>
      <c r="B151" s="193" t="s">
        <v>3261</v>
      </c>
      <c r="C151" s="204"/>
      <c r="D151" s="204"/>
      <c r="E151" s="180"/>
      <c r="F151" s="195" t="s">
        <v>3244</v>
      </c>
      <c r="G151" s="204"/>
    </row>
    <row r="152">
      <c r="A152" s="178">
        <v>17.0</v>
      </c>
      <c r="B152" s="178">
        <v>18.0</v>
      </c>
      <c r="C152" s="178">
        <v>19.0</v>
      </c>
      <c r="D152" s="178">
        <v>20.0</v>
      </c>
      <c r="E152" s="178">
        <v>21.0</v>
      </c>
      <c r="F152" s="178">
        <v>22.0</v>
      </c>
      <c r="G152" s="178">
        <v>23.0</v>
      </c>
    </row>
    <row r="153">
      <c r="A153" s="204"/>
      <c r="B153" s="180"/>
      <c r="C153" s="180"/>
      <c r="D153" s="180"/>
      <c r="E153" s="180"/>
      <c r="F153" s="180"/>
      <c r="G153" s="204"/>
    </row>
    <row r="154">
      <c r="A154" s="178">
        <v>24.0</v>
      </c>
      <c r="B154" s="178">
        <v>25.0</v>
      </c>
      <c r="C154" s="178">
        <v>26.0</v>
      </c>
      <c r="D154" s="178">
        <v>27.0</v>
      </c>
      <c r="E154" s="178">
        <v>28.0</v>
      </c>
      <c r="F154" s="178">
        <v>29.0</v>
      </c>
      <c r="G154" s="178">
        <v>30.0</v>
      </c>
    </row>
    <row r="155">
      <c r="A155" s="204"/>
      <c r="B155" s="180"/>
      <c r="C155" s="180"/>
      <c r="D155" s="180"/>
      <c r="E155" s="180"/>
      <c r="F155" s="180"/>
      <c r="G155" s="207"/>
    </row>
    <row r="156">
      <c r="A156" s="174" t="s">
        <v>3241</v>
      </c>
      <c r="D156" s="175"/>
      <c r="E156" s="175"/>
      <c r="F156" s="175"/>
      <c r="G156" s="176">
        <v>1687.0</v>
      </c>
    </row>
    <row r="157">
      <c r="A157" s="178">
        <v>1.0</v>
      </c>
      <c r="B157" s="178">
        <v>2.0</v>
      </c>
      <c r="C157" s="178">
        <v>3.0</v>
      </c>
      <c r="D157" s="178">
        <v>4.0</v>
      </c>
      <c r="E157" s="178">
        <v>5.0</v>
      </c>
      <c r="F157" s="178">
        <v>6.0</v>
      </c>
      <c r="G157" s="178">
        <v>7.0</v>
      </c>
    </row>
    <row r="158">
      <c r="A158" s="175"/>
      <c r="C158" s="180"/>
      <c r="D158" s="180"/>
      <c r="E158" s="180"/>
      <c r="F158" s="204"/>
      <c r="G158" s="180"/>
    </row>
    <row r="159">
      <c r="A159" s="178">
        <v>8.0</v>
      </c>
      <c r="B159" s="178">
        <v>9.0</v>
      </c>
      <c r="C159" s="178">
        <v>10.0</v>
      </c>
      <c r="D159" s="178">
        <v>11.0</v>
      </c>
      <c r="E159" s="178">
        <v>12.0</v>
      </c>
      <c r="F159" s="178">
        <v>13.0</v>
      </c>
      <c r="G159" s="178">
        <v>14.0</v>
      </c>
    </row>
    <row r="160">
      <c r="A160" s="180"/>
      <c r="B160" s="180"/>
      <c r="C160" s="180"/>
      <c r="D160" s="180"/>
      <c r="E160" s="193"/>
      <c r="F160" s="195" t="s">
        <v>195</v>
      </c>
      <c r="G160" s="204"/>
    </row>
    <row r="161">
      <c r="A161" s="178">
        <v>15.0</v>
      </c>
      <c r="B161" s="178">
        <v>16.0</v>
      </c>
      <c r="C161" s="178">
        <v>17.0</v>
      </c>
      <c r="D161" s="178">
        <v>18.0</v>
      </c>
      <c r="E161" s="178">
        <v>19.0</v>
      </c>
      <c r="F161" s="178">
        <v>20.0</v>
      </c>
      <c r="G161" s="178">
        <v>21.0</v>
      </c>
    </row>
    <row r="162">
      <c r="A162" s="193"/>
      <c r="B162" s="180"/>
      <c r="C162" s="180"/>
      <c r="D162" s="180"/>
      <c r="E162" s="180"/>
      <c r="F162" s="175"/>
      <c r="G162" s="175"/>
    </row>
    <row r="163">
      <c r="A163" s="178">
        <v>22.0</v>
      </c>
      <c r="B163" s="178">
        <v>23.0</v>
      </c>
      <c r="C163" s="178">
        <v>24.0</v>
      </c>
      <c r="D163" s="178">
        <v>25.0</v>
      </c>
      <c r="E163" s="178">
        <v>26.0</v>
      </c>
      <c r="F163" s="178">
        <v>27.0</v>
      </c>
      <c r="G163" s="178">
        <v>28.0</v>
      </c>
    </row>
    <row r="164">
      <c r="A164" s="180"/>
      <c r="B164" s="180"/>
      <c r="C164" s="180"/>
      <c r="D164" s="205"/>
      <c r="E164" s="204"/>
      <c r="F164" s="180"/>
      <c r="G164" s="180"/>
    </row>
    <row r="165">
      <c r="A165" s="178">
        <v>29.0</v>
      </c>
      <c r="B165" s="178">
        <v>30.0</v>
      </c>
      <c r="C165" s="187">
        <v>31.0</v>
      </c>
      <c r="D165" s="187"/>
      <c r="E165" s="175"/>
      <c r="F165" s="175"/>
      <c r="G165" s="175"/>
    </row>
    <row r="166">
      <c r="A166" s="180"/>
      <c r="B166" s="193" t="s">
        <v>3262</v>
      </c>
      <c r="C166" s="193" t="s">
        <v>3263</v>
      </c>
      <c r="D166" s="190"/>
      <c r="E166" s="175"/>
      <c r="F166" s="175"/>
      <c r="G166" s="175"/>
    </row>
    <row r="167">
      <c r="A167" s="173" t="s">
        <v>514</v>
      </c>
      <c r="B167" s="173" t="s">
        <v>531</v>
      </c>
      <c r="C167" s="173" t="s">
        <v>550</v>
      </c>
      <c r="D167" s="173" t="s">
        <v>437</v>
      </c>
      <c r="E167" s="173" t="s">
        <v>457</v>
      </c>
      <c r="F167" s="173" t="s">
        <v>476</v>
      </c>
      <c r="G167" s="173" t="s">
        <v>494</v>
      </c>
    </row>
    <row r="168">
      <c r="A168" s="174" t="s">
        <v>3242</v>
      </c>
      <c r="D168" s="175"/>
      <c r="E168" s="175"/>
      <c r="F168" s="175"/>
      <c r="G168" s="176">
        <v>1688.0</v>
      </c>
    </row>
    <row r="169">
      <c r="A169" s="175"/>
      <c r="B169" s="175"/>
      <c r="C169" s="175"/>
      <c r="D169" s="178">
        <v>1.0</v>
      </c>
      <c r="E169" s="178">
        <v>2.0</v>
      </c>
      <c r="F169" s="178">
        <v>3.0</v>
      </c>
      <c r="G169" s="178">
        <v>4.0</v>
      </c>
    </row>
    <row r="170">
      <c r="A170" s="175"/>
      <c r="B170" s="175"/>
      <c r="C170" s="175"/>
      <c r="E170" s="226" t="s">
        <v>3264</v>
      </c>
      <c r="G170" s="180"/>
    </row>
    <row r="171">
      <c r="A171" s="178">
        <v>5.0</v>
      </c>
      <c r="B171" s="178">
        <v>6.0</v>
      </c>
      <c r="C171" s="178">
        <v>7.0</v>
      </c>
      <c r="D171" s="178">
        <v>8.0</v>
      </c>
      <c r="E171" s="178">
        <v>9.0</v>
      </c>
      <c r="F171" s="178">
        <v>10.0</v>
      </c>
      <c r="G171" s="178">
        <v>11.0</v>
      </c>
    </row>
    <row r="172">
      <c r="A172" s="180"/>
      <c r="B172" s="180"/>
      <c r="C172" s="180"/>
      <c r="D172" s="180"/>
      <c r="E172" s="180"/>
      <c r="F172" s="180"/>
      <c r="G172" s="180"/>
    </row>
    <row r="173">
      <c r="A173" s="178">
        <v>12.0</v>
      </c>
      <c r="B173" s="178">
        <v>13.0</v>
      </c>
      <c r="C173" s="178">
        <v>14.0</v>
      </c>
      <c r="D173" s="178">
        <v>15.0</v>
      </c>
      <c r="E173" s="178">
        <v>16.0</v>
      </c>
      <c r="F173" s="178">
        <v>17.0</v>
      </c>
      <c r="G173" s="178">
        <v>18.0</v>
      </c>
    </row>
    <row r="174">
      <c r="A174" s="180"/>
      <c r="B174" s="180"/>
      <c r="C174" s="180"/>
      <c r="D174" s="180"/>
      <c r="E174" s="175"/>
      <c r="F174" s="175"/>
      <c r="G174" s="175"/>
    </row>
    <row r="175">
      <c r="A175" s="178">
        <v>19.0</v>
      </c>
      <c r="B175" s="178">
        <v>20.0</v>
      </c>
      <c r="C175" s="178">
        <v>21.0</v>
      </c>
      <c r="D175" s="178">
        <v>22.0</v>
      </c>
      <c r="E175" s="178">
        <v>23.0</v>
      </c>
      <c r="F175" s="178">
        <v>24.0</v>
      </c>
      <c r="G175" s="178">
        <v>25.0</v>
      </c>
    </row>
    <row r="176">
      <c r="A176" s="180"/>
      <c r="B176" s="180"/>
      <c r="C176" s="180"/>
      <c r="D176" s="180"/>
      <c r="E176" s="180"/>
      <c r="F176" s="180"/>
      <c r="G176" s="186"/>
    </row>
    <row r="177">
      <c r="A177" s="178">
        <v>26.0</v>
      </c>
      <c r="B177" s="178">
        <v>27.0</v>
      </c>
      <c r="C177" s="178">
        <v>28.0</v>
      </c>
      <c r="D177" s="178">
        <v>29.0</v>
      </c>
      <c r="E177" s="178">
        <v>30.0</v>
      </c>
      <c r="F177" s="187">
        <v>31.0</v>
      </c>
      <c r="G177" s="187"/>
    </row>
    <row r="178">
      <c r="A178" s="180"/>
      <c r="B178" s="180"/>
      <c r="C178" s="180"/>
      <c r="D178" s="180"/>
      <c r="E178" s="180"/>
      <c r="G178" s="190"/>
    </row>
    <row r="179">
      <c r="A179" s="174" t="s">
        <v>3243</v>
      </c>
      <c r="D179" s="175"/>
      <c r="E179" s="175"/>
      <c r="F179" s="175"/>
      <c r="G179" s="176">
        <v>1688.0</v>
      </c>
    </row>
    <row r="180">
      <c r="A180" s="191"/>
      <c r="B180" s="191"/>
      <c r="C180" s="191"/>
      <c r="D180" s="191"/>
      <c r="E180" s="191"/>
      <c r="F180" s="191"/>
      <c r="G180" s="178">
        <v>1.0</v>
      </c>
    </row>
    <row r="181">
      <c r="A181" s="191"/>
      <c r="B181" s="191"/>
      <c r="C181" s="191"/>
      <c r="D181" s="191"/>
      <c r="E181" s="191"/>
      <c r="F181" s="191"/>
      <c r="G181" s="192"/>
    </row>
    <row r="182">
      <c r="A182" s="178">
        <v>2.0</v>
      </c>
      <c r="B182" s="178">
        <v>3.0</v>
      </c>
      <c r="C182" s="178">
        <v>4.0</v>
      </c>
      <c r="D182" s="178">
        <v>5.0</v>
      </c>
      <c r="E182" s="178">
        <v>6.0</v>
      </c>
      <c r="F182" s="178">
        <v>7.0</v>
      </c>
      <c r="G182" s="178">
        <v>8.0</v>
      </c>
    </row>
    <row r="183">
      <c r="A183" s="180"/>
      <c r="B183" s="180"/>
      <c r="C183" s="180"/>
      <c r="D183" s="180"/>
      <c r="E183" s="180"/>
      <c r="F183" s="180"/>
      <c r="G183" s="180"/>
    </row>
    <row r="184">
      <c r="A184" s="178">
        <v>9.0</v>
      </c>
      <c r="B184" s="178">
        <v>10.0</v>
      </c>
      <c r="C184" s="178">
        <v>11.0</v>
      </c>
      <c r="D184" s="178">
        <v>12.0</v>
      </c>
      <c r="E184" s="178">
        <v>13.0</v>
      </c>
      <c r="F184" s="178">
        <v>14.0</v>
      </c>
      <c r="G184" s="178">
        <v>15.0</v>
      </c>
    </row>
    <row r="185">
      <c r="A185" s="180"/>
      <c r="B185" s="180"/>
      <c r="C185" s="180"/>
      <c r="D185" s="180"/>
      <c r="G185" s="175"/>
    </row>
    <row r="186">
      <c r="A186" s="178">
        <v>16.0</v>
      </c>
      <c r="B186" s="178">
        <v>17.0</v>
      </c>
      <c r="C186" s="178">
        <v>18.0</v>
      </c>
      <c r="D186" s="178">
        <v>19.0</v>
      </c>
      <c r="E186" s="178">
        <v>20.0</v>
      </c>
      <c r="F186" s="178">
        <v>21.0</v>
      </c>
      <c r="G186" s="178">
        <v>22.0</v>
      </c>
    </row>
    <row r="187">
      <c r="A187" s="180"/>
      <c r="B187" s="180"/>
      <c r="C187" s="180"/>
      <c r="D187" s="180"/>
      <c r="E187" s="180"/>
      <c r="F187" s="180"/>
      <c r="G187" s="228" t="s">
        <v>3265</v>
      </c>
    </row>
    <row r="188">
      <c r="A188" s="178">
        <v>23.0</v>
      </c>
      <c r="B188" s="178">
        <v>24.0</v>
      </c>
      <c r="C188" s="178">
        <v>25.0</v>
      </c>
      <c r="D188" s="178">
        <v>26.0</v>
      </c>
      <c r="E188" s="178">
        <v>27.0</v>
      </c>
      <c r="F188" s="178">
        <v>28.0</v>
      </c>
      <c r="G188" s="178">
        <v>29.0</v>
      </c>
    </row>
    <row r="189">
      <c r="A189" s="193" t="s">
        <v>3266</v>
      </c>
      <c r="B189" s="180"/>
      <c r="C189" s="180"/>
      <c r="D189" s="180"/>
      <c r="E189" s="180"/>
      <c r="F189" s="180"/>
      <c r="G189" s="180"/>
    </row>
    <row r="190">
      <c r="A190" s="174" t="s">
        <v>3245</v>
      </c>
      <c r="D190" s="175"/>
      <c r="E190" s="175"/>
      <c r="F190" s="175"/>
      <c r="G190" s="176">
        <v>1688.0</v>
      </c>
    </row>
    <row r="191">
      <c r="A191" s="178">
        <v>1.0</v>
      </c>
      <c r="B191" s="178">
        <v>2.0</v>
      </c>
      <c r="C191" s="178">
        <v>3.0</v>
      </c>
      <c r="D191" s="178">
        <v>4.0</v>
      </c>
      <c r="E191" s="178">
        <v>5.0</v>
      </c>
      <c r="F191" s="178">
        <v>6.0</v>
      </c>
      <c r="G191" s="178">
        <v>7.0</v>
      </c>
    </row>
    <row r="192">
      <c r="A192" s="180"/>
      <c r="B192" s="180"/>
      <c r="C192" s="180"/>
      <c r="D192" s="180"/>
      <c r="E192" s="180"/>
      <c r="F192" s="180"/>
      <c r="G192" s="180"/>
    </row>
    <row r="193">
      <c r="A193" s="178">
        <v>8.0</v>
      </c>
      <c r="B193" s="178">
        <v>9.0</v>
      </c>
      <c r="C193" s="178">
        <v>10.0</v>
      </c>
      <c r="D193" s="178">
        <v>11.0</v>
      </c>
      <c r="E193" s="178">
        <v>12.0</v>
      </c>
      <c r="F193" s="178">
        <v>13.0</v>
      </c>
      <c r="G193" s="178">
        <v>14.0</v>
      </c>
    </row>
    <row r="194">
      <c r="A194" s="180"/>
      <c r="B194" s="180"/>
      <c r="C194" s="180"/>
      <c r="D194" s="180"/>
      <c r="E194" s="175"/>
      <c r="F194" s="175"/>
      <c r="G194" s="175"/>
    </row>
    <row r="195">
      <c r="A195" s="178">
        <v>15.0</v>
      </c>
      <c r="B195" s="178">
        <v>16.0</v>
      </c>
      <c r="C195" s="178">
        <v>17.0</v>
      </c>
      <c r="D195" s="178">
        <v>18.0</v>
      </c>
      <c r="E195" s="178">
        <v>19.0</v>
      </c>
      <c r="F195" s="178">
        <v>20.0</v>
      </c>
      <c r="G195" s="178">
        <v>21.0</v>
      </c>
    </row>
    <row r="196">
      <c r="A196" s="180"/>
      <c r="B196" s="180"/>
      <c r="C196" s="180"/>
      <c r="D196" s="180"/>
      <c r="E196" s="180"/>
      <c r="F196" s="180"/>
      <c r="G196" s="180"/>
    </row>
    <row r="197">
      <c r="A197" s="178">
        <v>22.0</v>
      </c>
      <c r="B197" s="178">
        <v>23.0</v>
      </c>
      <c r="C197" s="178">
        <v>24.0</v>
      </c>
      <c r="D197" s="178">
        <v>25.0</v>
      </c>
      <c r="E197" s="178">
        <v>26.0</v>
      </c>
      <c r="F197" s="178">
        <v>27.0</v>
      </c>
      <c r="G197" s="178">
        <v>28.0</v>
      </c>
    </row>
    <row r="198">
      <c r="A198" s="180"/>
      <c r="B198" s="229" t="s">
        <v>3267</v>
      </c>
      <c r="C198" s="228" t="s">
        <v>3268</v>
      </c>
      <c r="D198" s="193" t="s">
        <v>3269</v>
      </c>
      <c r="E198" s="180"/>
      <c r="F198" s="180"/>
      <c r="G198" s="180"/>
    </row>
    <row r="199">
      <c r="A199" s="178">
        <v>29.0</v>
      </c>
      <c r="B199" s="178">
        <v>30.0</v>
      </c>
      <c r="C199" s="178">
        <v>31.0</v>
      </c>
      <c r="D199" s="175"/>
      <c r="E199" s="175"/>
      <c r="F199" s="175"/>
      <c r="G199" s="175"/>
    </row>
    <row r="200">
      <c r="A200" s="180"/>
      <c r="B200" s="180"/>
      <c r="C200" s="180"/>
      <c r="D200" s="175"/>
      <c r="E200" s="175"/>
      <c r="F200" s="175"/>
      <c r="G200" s="175"/>
    </row>
    <row r="201">
      <c r="A201" s="174" t="s">
        <v>3246</v>
      </c>
      <c r="D201" s="175"/>
      <c r="E201" s="175"/>
      <c r="F201" s="175"/>
      <c r="G201" s="176">
        <v>1688.0</v>
      </c>
    </row>
    <row r="202">
      <c r="A202" s="175"/>
      <c r="B202" s="175"/>
      <c r="C202" s="175"/>
      <c r="D202" s="178">
        <v>1.0</v>
      </c>
      <c r="E202" s="178">
        <v>2.0</v>
      </c>
      <c r="F202" s="178">
        <v>3.0</v>
      </c>
      <c r="G202" s="178">
        <v>4.0</v>
      </c>
    </row>
    <row r="203">
      <c r="A203" s="175"/>
      <c r="B203" s="175"/>
      <c r="C203" s="175"/>
      <c r="D203" s="180"/>
      <c r="E203" s="180"/>
      <c r="F203" s="180"/>
      <c r="G203" s="180"/>
    </row>
    <row r="204">
      <c r="A204" s="178">
        <v>5.0</v>
      </c>
      <c r="B204" s="178">
        <v>6.0</v>
      </c>
      <c r="C204" s="178">
        <v>7.0</v>
      </c>
      <c r="D204" s="178">
        <v>8.0</v>
      </c>
      <c r="E204" s="178">
        <v>9.0</v>
      </c>
      <c r="F204" s="178">
        <v>10.0</v>
      </c>
      <c r="G204" s="178">
        <v>11.0</v>
      </c>
    </row>
    <row r="205">
      <c r="A205" s="180"/>
      <c r="B205" s="180"/>
      <c r="C205" s="180"/>
      <c r="D205" s="180"/>
      <c r="E205" s="180"/>
      <c r="F205" s="180"/>
      <c r="G205" s="180"/>
    </row>
    <row r="206">
      <c r="A206" s="178">
        <v>12.0</v>
      </c>
      <c r="B206" s="178">
        <v>13.0</v>
      </c>
      <c r="C206" s="178">
        <v>14.0</v>
      </c>
      <c r="D206" s="178">
        <v>15.0</v>
      </c>
      <c r="E206" s="178">
        <v>16.0</v>
      </c>
      <c r="F206" s="178">
        <v>17.0</v>
      </c>
      <c r="G206" s="178">
        <v>18.0</v>
      </c>
    </row>
    <row r="207">
      <c r="A207" s="180"/>
      <c r="B207" s="180"/>
      <c r="C207" s="229" t="s">
        <v>3270</v>
      </c>
      <c r="D207" s="180"/>
      <c r="E207" s="175"/>
      <c r="F207" s="175"/>
      <c r="G207" s="175"/>
    </row>
    <row r="208">
      <c r="A208" s="178">
        <v>19.0</v>
      </c>
      <c r="B208" s="178">
        <v>20.0</v>
      </c>
      <c r="C208" s="178">
        <v>21.0</v>
      </c>
      <c r="D208" s="178">
        <v>22.0</v>
      </c>
      <c r="E208" s="178">
        <v>23.0</v>
      </c>
      <c r="F208" s="178">
        <v>24.0</v>
      </c>
      <c r="G208" s="178">
        <v>25.0</v>
      </c>
    </row>
    <row r="209">
      <c r="A209" s="180"/>
      <c r="B209" s="180"/>
      <c r="C209" s="180"/>
      <c r="D209" s="180"/>
      <c r="E209" s="180"/>
      <c r="F209" s="180"/>
      <c r="G209" s="180"/>
    </row>
    <row r="210">
      <c r="A210" s="178">
        <v>26.0</v>
      </c>
      <c r="B210" s="178">
        <v>27.0</v>
      </c>
      <c r="C210" s="178">
        <v>28.0</v>
      </c>
      <c r="D210" s="178">
        <v>29.0</v>
      </c>
      <c r="E210" s="178">
        <v>30.0</v>
      </c>
      <c r="F210" s="175"/>
      <c r="G210" s="175"/>
    </row>
    <row r="211">
      <c r="A211" s="180"/>
      <c r="B211" s="180"/>
      <c r="C211" s="180"/>
      <c r="D211" s="180"/>
      <c r="E211" s="180"/>
      <c r="F211" s="175"/>
      <c r="G211" s="175"/>
    </row>
    <row r="212">
      <c r="A212" s="174" t="s">
        <v>3247</v>
      </c>
      <c r="D212" s="175"/>
      <c r="E212" s="175"/>
      <c r="F212" s="175"/>
      <c r="G212" s="176">
        <v>1688.0</v>
      </c>
    </row>
    <row r="213">
      <c r="A213" s="142"/>
      <c r="B213" s="142"/>
      <c r="C213" s="142"/>
      <c r="D213" s="142"/>
      <c r="E213" s="142"/>
      <c r="F213" s="177">
        <v>1.0</v>
      </c>
      <c r="G213" s="178">
        <v>2.0</v>
      </c>
    </row>
    <row r="214">
      <c r="A214" s="142"/>
      <c r="B214" s="142"/>
      <c r="C214" s="142"/>
      <c r="D214" s="142"/>
      <c r="E214" s="142"/>
      <c r="F214" s="179"/>
      <c r="G214" s="180"/>
    </row>
    <row r="215">
      <c r="A215" s="181">
        <v>3.0</v>
      </c>
      <c r="B215" s="181">
        <v>4.0</v>
      </c>
      <c r="C215" s="181">
        <v>5.0</v>
      </c>
      <c r="D215" s="181">
        <v>6.0</v>
      </c>
      <c r="E215" s="181">
        <v>7.0</v>
      </c>
      <c r="F215" s="181">
        <v>8.0</v>
      </c>
      <c r="G215" s="178">
        <v>9.0</v>
      </c>
    </row>
    <row r="216">
      <c r="A216" s="179"/>
      <c r="B216" s="179"/>
      <c r="C216" s="179"/>
      <c r="D216" s="179"/>
      <c r="E216" s="179"/>
      <c r="F216" s="179"/>
      <c r="G216" s="180"/>
    </row>
    <row r="217">
      <c r="A217" s="181">
        <v>10.0</v>
      </c>
      <c r="B217" s="181">
        <v>11.0</v>
      </c>
      <c r="C217" s="181">
        <v>12.0</v>
      </c>
      <c r="D217" s="181">
        <v>13.0</v>
      </c>
      <c r="E217" s="181">
        <v>14.0</v>
      </c>
      <c r="F217" s="181">
        <v>15.0</v>
      </c>
      <c r="G217" s="178">
        <v>16.0</v>
      </c>
    </row>
    <row r="218">
      <c r="A218" s="179"/>
      <c r="B218" s="179"/>
      <c r="C218" s="179"/>
      <c r="D218" s="179"/>
      <c r="E218" s="142"/>
      <c r="F218" s="230" t="s">
        <v>3271</v>
      </c>
      <c r="G218" s="175"/>
    </row>
    <row r="219">
      <c r="A219" s="181">
        <v>17.0</v>
      </c>
      <c r="B219" s="181">
        <v>18.0</v>
      </c>
      <c r="C219" s="181">
        <v>19.0</v>
      </c>
      <c r="D219" s="181">
        <v>20.0</v>
      </c>
      <c r="E219" s="181">
        <v>21.0</v>
      </c>
      <c r="F219" s="181">
        <v>22.0</v>
      </c>
      <c r="G219" s="178">
        <v>23.0</v>
      </c>
    </row>
    <row r="220">
      <c r="A220" s="179"/>
      <c r="B220" s="179"/>
      <c r="C220" s="179"/>
      <c r="D220" s="179"/>
      <c r="E220" s="179"/>
      <c r="F220" s="179"/>
      <c r="G220" s="180"/>
    </row>
    <row r="221">
      <c r="A221" s="181">
        <v>24.0</v>
      </c>
      <c r="B221" s="181">
        <v>25.0</v>
      </c>
      <c r="C221" s="181">
        <v>26.0</v>
      </c>
      <c r="D221" s="181">
        <v>27.0</v>
      </c>
      <c r="E221" s="181">
        <v>28.0</v>
      </c>
      <c r="F221" s="181">
        <v>29.0</v>
      </c>
      <c r="G221" s="178">
        <v>30.0</v>
      </c>
    </row>
    <row r="222">
      <c r="A222" s="179"/>
      <c r="B222" s="188"/>
      <c r="C222" s="179"/>
      <c r="D222" s="179"/>
      <c r="E222" s="179"/>
      <c r="F222" s="179"/>
      <c r="G222" s="180"/>
    </row>
    <row r="223">
      <c r="A223" s="181">
        <v>31.0</v>
      </c>
      <c r="B223" s="139"/>
      <c r="C223" s="142"/>
      <c r="D223" s="142"/>
      <c r="E223" s="142"/>
      <c r="F223" s="142"/>
      <c r="G223" s="175"/>
    </row>
    <row r="224">
      <c r="A224" s="179"/>
      <c r="B224" s="142"/>
      <c r="C224" s="142"/>
      <c r="D224" s="142"/>
      <c r="E224" s="142"/>
      <c r="F224" s="142"/>
      <c r="G224" s="175"/>
    </row>
    <row r="225">
      <c r="A225" s="174" t="s">
        <v>3248</v>
      </c>
      <c r="D225" s="175"/>
      <c r="E225" s="175"/>
      <c r="F225" s="175"/>
      <c r="G225" s="176">
        <v>1688.0</v>
      </c>
    </row>
    <row r="226">
      <c r="A226" s="175"/>
      <c r="B226" s="178">
        <v>1.0</v>
      </c>
      <c r="C226" s="178">
        <v>2.0</v>
      </c>
      <c r="D226" s="178">
        <v>3.0</v>
      </c>
      <c r="E226" s="178">
        <v>4.0</v>
      </c>
      <c r="F226" s="178">
        <v>5.0</v>
      </c>
      <c r="G226" s="178">
        <v>6.0</v>
      </c>
    </row>
    <row r="227">
      <c r="A227" s="175"/>
      <c r="B227" s="193" t="s">
        <v>3272</v>
      </c>
      <c r="C227" s="182" t="s">
        <v>3273</v>
      </c>
      <c r="D227" s="182" t="s">
        <v>3274</v>
      </c>
      <c r="E227" s="180"/>
      <c r="F227" s="180"/>
      <c r="G227" s="180"/>
    </row>
    <row r="228">
      <c r="A228" s="178">
        <v>7.0</v>
      </c>
      <c r="B228" s="178">
        <v>8.0</v>
      </c>
      <c r="C228" s="178">
        <v>9.0</v>
      </c>
      <c r="D228" s="178">
        <v>10.0</v>
      </c>
      <c r="E228" s="178">
        <v>11.0</v>
      </c>
      <c r="F228" s="178">
        <v>12.0</v>
      </c>
      <c r="G228" s="178">
        <v>13.0</v>
      </c>
    </row>
    <row r="229">
      <c r="A229" s="180"/>
      <c r="B229" s="180"/>
      <c r="C229" s="180"/>
      <c r="D229" s="180"/>
      <c r="E229" s="175"/>
      <c r="F229" s="175"/>
      <c r="G229" s="175"/>
    </row>
    <row r="230">
      <c r="A230" s="178">
        <v>14.0</v>
      </c>
      <c r="B230" s="178">
        <v>15.0</v>
      </c>
      <c r="C230" s="178">
        <v>16.0</v>
      </c>
      <c r="D230" s="178">
        <v>17.0</v>
      </c>
      <c r="E230" s="178">
        <v>18.0</v>
      </c>
      <c r="F230" s="178">
        <v>19.0</v>
      </c>
      <c r="G230" s="178">
        <v>20.0</v>
      </c>
    </row>
    <row r="231">
      <c r="A231" s="180"/>
      <c r="B231" s="180"/>
      <c r="C231" s="175"/>
      <c r="D231" s="180"/>
      <c r="E231" s="180"/>
      <c r="F231" s="204"/>
      <c r="G231" s="226" t="s">
        <v>1092</v>
      </c>
    </row>
    <row r="232">
      <c r="A232" s="178">
        <v>21.0</v>
      </c>
      <c r="B232" s="178">
        <v>22.0</v>
      </c>
      <c r="C232" s="178">
        <v>23.0</v>
      </c>
      <c r="D232" s="178">
        <v>24.0</v>
      </c>
      <c r="E232" s="178">
        <v>25.0</v>
      </c>
      <c r="F232" s="178">
        <v>26.0</v>
      </c>
      <c r="G232" s="178">
        <v>27.0</v>
      </c>
    </row>
    <row r="233">
      <c r="A233" s="180"/>
      <c r="B233" s="180"/>
      <c r="C233" s="180"/>
      <c r="D233" s="186"/>
      <c r="E233" s="186"/>
      <c r="F233" s="186"/>
      <c r="G233" s="186"/>
    </row>
    <row r="234">
      <c r="A234" s="178">
        <v>28.0</v>
      </c>
      <c r="B234" s="178">
        <v>29.0</v>
      </c>
      <c r="C234" s="187">
        <v>30.0</v>
      </c>
      <c r="D234" s="187"/>
      <c r="E234" s="199"/>
      <c r="F234" s="199"/>
      <c r="G234" s="199"/>
    </row>
    <row r="235">
      <c r="A235" s="180"/>
      <c r="B235" s="180"/>
      <c r="C235" s="189"/>
      <c r="D235" s="190"/>
      <c r="E235" s="175"/>
      <c r="F235" s="175"/>
      <c r="G235" s="175"/>
    </row>
    <row r="236">
      <c r="A236" s="174" t="s">
        <v>3250</v>
      </c>
      <c r="D236" s="175"/>
      <c r="E236" s="175"/>
      <c r="F236" s="175"/>
      <c r="G236" s="176">
        <v>1688.0</v>
      </c>
    </row>
    <row r="237">
      <c r="A237" s="175"/>
      <c r="B237" s="175"/>
      <c r="C237" s="175"/>
      <c r="D237" s="178">
        <v>1.0</v>
      </c>
      <c r="E237" s="178">
        <v>2.0</v>
      </c>
      <c r="F237" s="178">
        <v>3.0</v>
      </c>
      <c r="G237" s="178">
        <v>4.0</v>
      </c>
    </row>
    <row r="238">
      <c r="A238" s="175"/>
      <c r="B238" s="175"/>
      <c r="C238" s="175"/>
      <c r="D238" s="180"/>
      <c r="E238" s="180"/>
      <c r="F238" s="180"/>
      <c r="G238" s="180"/>
    </row>
    <row r="239">
      <c r="A239" s="178">
        <v>5.0</v>
      </c>
      <c r="B239" s="178">
        <v>6.0</v>
      </c>
      <c r="C239" s="178">
        <v>7.0</v>
      </c>
      <c r="D239" s="178">
        <v>8.0</v>
      </c>
      <c r="E239" s="178">
        <v>9.0</v>
      </c>
      <c r="F239" s="178">
        <v>10.0</v>
      </c>
      <c r="G239" s="178">
        <v>11.0</v>
      </c>
    </row>
    <row r="240">
      <c r="A240" s="180"/>
      <c r="B240" s="180"/>
      <c r="C240" s="180"/>
      <c r="D240" s="180"/>
      <c r="E240" s="180"/>
      <c r="F240" s="180"/>
      <c r="G240" s="180"/>
    </row>
    <row r="241">
      <c r="A241" s="178">
        <v>12.0</v>
      </c>
      <c r="B241" s="178">
        <v>13.0</v>
      </c>
      <c r="C241" s="178">
        <v>14.0</v>
      </c>
      <c r="D241" s="178">
        <v>15.0</v>
      </c>
      <c r="E241" s="178">
        <v>16.0</v>
      </c>
      <c r="F241" s="178">
        <v>17.0</v>
      </c>
      <c r="G241" s="178">
        <v>18.0</v>
      </c>
    </row>
    <row r="242">
      <c r="A242" s="180"/>
      <c r="B242" s="180"/>
      <c r="C242" s="180"/>
      <c r="D242" s="180"/>
      <c r="E242" s="175"/>
      <c r="F242" s="175"/>
      <c r="G242" s="175"/>
    </row>
    <row r="243">
      <c r="A243" s="178">
        <v>19.0</v>
      </c>
      <c r="B243" s="178">
        <v>20.0</v>
      </c>
      <c r="C243" s="178">
        <v>21.0</v>
      </c>
      <c r="D243" s="178">
        <v>22.0</v>
      </c>
      <c r="E243" s="178">
        <v>23.0</v>
      </c>
      <c r="F243" s="178">
        <v>24.0</v>
      </c>
      <c r="G243" s="178">
        <v>25.0</v>
      </c>
    </row>
    <row r="244">
      <c r="A244" s="180"/>
      <c r="B244" s="180"/>
      <c r="C244" s="180"/>
      <c r="D244" s="193"/>
      <c r="E244" s="180"/>
      <c r="F244" s="180"/>
      <c r="G244" s="186"/>
    </row>
    <row r="245">
      <c r="A245" s="178">
        <v>26.0</v>
      </c>
      <c r="B245" s="178">
        <v>27.0</v>
      </c>
      <c r="C245" s="178">
        <v>28.0</v>
      </c>
      <c r="D245" s="178">
        <v>29.0</v>
      </c>
      <c r="E245" s="178">
        <v>30.0</v>
      </c>
      <c r="F245" s="187">
        <v>31.0</v>
      </c>
      <c r="G245" s="187"/>
    </row>
    <row r="246">
      <c r="A246" s="180"/>
      <c r="B246" s="180"/>
      <c r="C246" s="180"/>
      <c r="D246" s="231" t="s">
        <v>1094</v>
      </c>
      <c r="E246" s="180"/>
      <c r="F246" s="189"/>
      <c r="G246" s="190"/>
    </row>
    <row r="247">
      <c r="A247" s="174" t="s">
        <v>3251</v>
      </c>
      <c r="D247" s="175"/>
      <c r="E247" s="175"/>
      <c r="F247" s="175"/>
      <c r="G247" s="176">
        <v>1688.0</v>
      </c>
    </row>
    <row r="248">
      <c r="A248" s="191"/>
      <c r="B248" s="191"/>
      <c r="C248" s="191"/>
      <c r="D248" s="191"/>
      <c r="E248" s="191"/>
      <c r="F248" s="191"/>
      <c r="G248" s="178">
        <v>1.0</v>
      </c>
    </row>
    <row r="249">
      <c r="A249" s="191"/>
      <c r="B249" s="191"/>
      <c r="C249" s="191"/>
      <c r="D249" s="191"/>
      <c r="E249" s="191"/>
      <c r="F249" s="191"/>
      <c r="G249" s="192"/>
    </row>
    <row r="250">
      <c r="A250" s="178">
        <v>2.0</v>
      </c>
      <c r="B250" s="178">
        <v>3.0</v>
      </c>
      <c r="C250" s="178">
        <v>4.0</v>
      </c>
      <c r="D250" s="178">
        <v>5.0</v>
      </c>
      <c r="E250" s="178">
        <v>6.0</v>
      </c>
      <c r="F250" s="178">
        <v>7.0</v>
      </c>
      <c r="G250" s="178">
        <v>8.0</v>
      </c>
    </row>
    <row r="251">
      <c r="A251" s="180"/>
      <c r="B251" s="180"/>
      <c r="C251" s="180"/>
      <c r="D251" s="180"/>
      <c r="E251" s="180"/>
      <c r="F251" s="180"/>
      <c r="G251" s="180"/>
    </row>
    <row r="252">
      <c r="A252" s="178">
        <v>9.0</v>
      </c>
      <c r="B252" s="178">
        <v>10.0</v>
      </c>
      <c r="C252" s="178">
        <v>11.0</v>
      </c>
      <c r="D252" s="178">
        <v>12.0</v>
      </c>
      <c r="E252" s="178">
        <v>13.0</v>
      </c>
      <c r="F252" s="178">
        <v>14.0</v>
      </c>
      <c r="G252" s="178">
        <v>15.0</v>
      </c>
    </row>
    <row r="253">
      <c r="A253" s="193"/>
      <c r="B253" s="180"/>
      <c r="C253" s="180"/>
      <c r="D253" s="193"/>
      <c r="E253" s="175"/>
      <c r="F253" s="175"/>
      <c r="G253" s="175"/>
    </row>
    <row r="254">
      <c r="A254" s="178">
        <v>16.0</v>
      </c>
      <c r="B254" s="178">
        <v>17.0</v>
      </c>
      <c r="C254" s="178">
        <v>18.0</v>
      </c>
      <c r="D254" s="178">
        <v>19.0</v>
      </c>
      <c r="E254" s="178">
        <v>20.0</v>
      </c>
      <c r="F254" s="178">
        <v>21.0</v>
      </c>
      <c r="G254" s="178">
        <v>22.0</v>
      </c>
    </row>
    <row r="255">
      <c r="A255" s="194"/>
      <c r="B255" s="175"/>
      <c r="C255" s="180"/>
      <c r="D255" s="195" t="s">
        <v>237</v>
      </c>
      <c r="E255" s="180"/>
      <c r="F255" s="180"/>
      <c r="G255" s="180"/>
    </row>
    <row r="256">
      <c r="A256" s="178">
        <v>23.0</v>
      </c>
      <c r="B256" s="178">
        <v>24.0</v>
      </c>
      <c r="C256" s="178">
        <v>25.0</v>
      </c>
      <c r="D256" s="178">
        <v>26.0</v>
      </c>
      <c r="E256" s="178">
        <v>27.0</v>
      </c>
      <c r="F256" s="178">
        <v>28.0</v>
      </c>
      <c r="G256" s="178">
        <v>29.0</v>
      </c>
    </row>
    <row r="257">
      <c r="A257" s="180"/>
      <c r="B257" s="180"/>
      <c r="C257" s="180"/>
      <c r="D257" s="180"/>
      <c r="E257" s="180"/>
      <c r="F257" s="180"/>
      <c r="G257" s="180"/>
    </row>
    <row r="258">
      <c r="A258" s="178">
        <v>30.0</v>
      </c>
      <c r="B258" s="178">
        <v>31.0</v>
      </c>
      <c r="C258" s="175"/>
      <c r="D258" s="175"/>
      <c r="E258" s="175"/>
      <c r="F258" s="175"/>
      <c r="G258" s="175"/>
    </row>
    <row r="259">
      <c r="A259" s="180"/>
      <c r="B259" s="180"/>
      <c r="C259" s="175"/>
      <c r="D259" s="175"/>
      <c r="E259" s="175"/>
      <c r="F259" s="175"/>
      <c r="G259" s="175"/>
    </row>
    <row r="260">
      <c r="A260" s="174" t="s">
        <v>3256</v>
      </c>
      <c r="D260" s="175"/>
      <c r="E260" s="175"/>
      <c r="F260" s="175"/>
      <c r="G260" s="176">
        <v>1688.0</v>
      </c>
    </row>
    <row r="261">
      <c r="A261" s="191"/>
      <c r="B261" s="191"/>
      <c r="C261" s="178">
        <v>1.0</v>
      </c>
      <c r="D261" s="178">
        <v>2.0</v>
      </c>
      <c r="E261" s="178">
        <v>3.0</v>
      </c>
      <c r="F261" s="178">
        <v>4.0</v>
      </c>
      <c r="G261" s="196">
        <v>5.0</v>
      </c>
    </row>
    <row r="262">
      <c r="A262" s="191"/>
      <c r="B262" s="191"/>
      <c r="C262" s="197"/>
      <c r="E262" s="197"/>
      <c r="F262" s="197"/>
      <c r="G262" s="198"/>
    </row>
    <row r="263">
      <c r="A263" s="178">
        <v>6.0</v>
      </c>
      <c r="B263" s="178">
        <v>7.0</v>
      </c>
      <c r="C263" s="192">
        <v>8.0</v>
      </c>
      <c r="D263" s="192">
        <v>9.0</v>
      </c>
      <c r="E263" s="192">
        <v>10.0</v>
      </c>
      <c r="F263" s="192">
        <v>11.0</v>
      </c>
      <c r="G263" s="178">
        <v>12.0</v>
      </c>
    </row>
    <row r="264">
      <c r="A264" s="180"/>
      <c r="B264" s="180"/>
      <c r="C264" s="180"/>
      <c r="D264" s="180"/>
      <c r="E264" s="180"/>
      <c r="F264" s="180"/>
      <c r="G264" s="180"/>
    </row>
    <row r="265">
      <c r="A265" s="178">
        <v>13.0</v>
      </c>
      <c r="B265" s="178">
        <v>14.0</v>
      </c>
      <c r="C265" s="178">
        <v>15.0</v>
      </c>
      <c r="D265" s="178">
        <v>16.0</v>
      </c>
      <c r="E265" s="178">
        <v>17.0</v>
      </c>
      <c r="F265" s="178">
        <v>18.0</v>
      </c>
      <c r="G265" s="178">
        <v>19.0</v>
      </c>
    </row>
    <row r="266">
      <c r="A266" s="175"/>
      <c r="B266" s="175"/>
      <c r="C266" s="175"/>
      <c r="D266" s="193"/>
      <c r="E266" s="175"/>
      <c r="F266" s="175"/>
      <c r="G266" s="175"/>
    </row>
    <row r="267">
      <c r="A267" s="178">
        <v>20.0</v>
      </c>
      <c r="B267" s="178">
        <v>21.0</v>
      </c>
      <c r="C267" s="178">
        <v>22.0</v>
      </c>
      <c r="D267" s="178">
        <v>23.0</v>
      </c>
      <c r="E267" s="178">
        <v>24.0</v>
      </c>
      <c r="F267" s="178">
        <v>25.0</v>
      </c>
      <c r="G267" s="178">
        <v>26.0</v>
      </c>
    </row>
    <row r="268">
      <c r="A268" s="180"/>
      <c r="B268" s="180"/>
      <c r="C268" s="180"/>
      <c r="D268" s="195" t="s">
        <v>237</v>
      </c>
      <c r="E268" s="222" t="s">
        <v>3275</v>
      </c>
      <c r="F268" s="186"/>
      <c r="G268" s="186"/>
    </row>
    <row r="269">
      <c r="A269" s="178">
        <v>27.0</v>
      </c>
      <c r="B269" s="178">
        <v>28.0</v>
      </c>
      <c r="C269" s="178">
        <v>29.0</v>
      </c>
      <c r="D269" s="187">
        <v>30.0</v>
      </c>
      <c r="E269" s="187"/>
      <c r="F269" s="199"/>
      <c r="G269" s="199"/>
    </row>
    <row r="270">
      <c r="A270" s="180"/>
      <c r="B270" s="180"/>
      <c r="C270" s="180"/>
      <c r="D270" s="189"/>
      <c r="E270" s="190"/>
      <c r="F270" s="175"/>
      <c r="G270" s="175"/>
    </row>
    <row r="271">
      <c r="A271" s="174" t="s">
        <v>3259</v>
      </c>
      <c r="D271" s="175"/>
      <c r="E271" s="175"/>
      <c r="F271" s="175"/>
      <c r="G271" s="176">
        <v>1688.0</v>
      </c>
    </row>
    <row r="272">
      <c r="A272" s="142"/>
      <c r="B272" s="142"/>
      <c r="C272" s="142"/>
      <c r="D272" s="142"/>
      <c r="E272" s="177">
        <v>1.0</v>
      </c>
      <c r="F272" s="178">
        <v>2.0</v>
      </c>
      <c r="G272" s="178">
        <v>3.0</v>
      </c>
    </row>
    <row r="273">
      <c r="A273" s="142"/>
      <c r="B273" s="142"/>
      <c r="C273" s="142"/>
      <c r="D273" s="142"/>
      <c r="E273" s="179"/>
      <c r="F273" s="180"/>
      <c r="G273" s="180"/>
    </row>
    <row r="274">
      <c r="A274" s="181">
        <v>4.0</v>
      </c>
      <c r="B274" s="181">
        <v>5.0</v>
      </c>
      <c r="C274" s="181">
        <v>6.0</v>
      </c>
      <c r="D274" s="181">
        <v>7.0</v>
      </c>
      <c r="E274" s="181">
        <v>8.0</v>
      </c>
      <c r="F274" s="178">
        <v>9.0</v>
      </c>
      <c r="G274" s="178">
        <v>10.0</v>
      </c>
    </row>
    <row r="275">
      <c r="A275" s="179"/>
      <c r="B275" s="179"/>
      <c r="C275" s="179"/>
      <c r="D275" s="179"/>
      <c r="E275" s="179"/>
      <c r="F275" s="180"/>
      <c r="G275" s="180"/>
    </row>
    <row r="276">
      <c r="A276" s="181">
        <v>11.0</v>
      </c>
      <c r="B276" s="181">
        <v>12.0</v>
      </c>
      <c r="C276" s="181">
        <v>13.0</v>
      </c>
      <c r="D276" s="181">
        <v>14.0</v>
      </c>
      <c r="E276" s="181">
        <v>15.0</v>
      </c>
      <c r="F276" s="178">
        <v>16.0</v>
      </c>
      <c r="G276" s="178">
        <v>17.0</v>
      </c>
    </row>
    <row r="277">
      <c r="A277" s="179"/>
      <c r="B277" s="179"/>
      <c r="C277" s="179"/>
      <c r="D277" s="184"/>
      <c r="E277" s="185"/>
      <c r="F277" s="186"/>
      <c r="G277" s="186"/>
    </row>
    <row r="278">
      <c r="A278" s="181">
        <v>18.0</v>
      </c>
      <c r="B278" s="181">
        <v>19.0</v>
      </c>
      <c r="C278" s="181">
        <v>20.0</v>
      </c>
      <c r="D278" s="181">
        <v>21.0</v>
      </c>
      <c r="E278" s="181">
        <v>22.0</v>
      </c>
      <c r="F278" s="178">
        <v>23.0</v>
      </c>
      <c r="G278" s="178">
        <v>24.0</v>
      </c>
    </row>
    <row r="279">
      <c r="A279" s="179"/>
      <c r="B279" s="179"/>
      <c r="C279" s="179"/>
      <c r="D279" s="179"/>
      <c r="E279" s="179"/>
      <c r="F279" s="180"/>
      <c r="G279" s="180"/>
    </row>
    <row r="280">
      <c r="A280" s="181">
        <v>25.0</v>
      </c>
      <c r="B280" s="181">
        <v>26.0</v>
      </c>
      <c r="C280" s="181">
        <v>27.0</v>
      </c>
      <c r="D280" s="181">
        <v>28.0</v>
      </c>
      <c r="E280" s="181">
        <v>29.0</v>
      </c>
      <c r="F280" s="178">
        <v>30.0</v>
      </c>
      <c r="G280" s="178">
        <v>31.0</v>
      </c>
    </row>
    <row r="281">
      <c r="A281" s="188"/>
      <c r="B281" s="179"/>
      <c r="C281" s="179"/>
      <c r="D281" s="179"/>
      <c r="E281" s="179"/>
      <c r="F281" s="180"/>
      <c r="G281" s="180"/>
    </row>
    <row r="282">
      <c r="A282" s="174" t="s">
        <v>3238</v>
      </c>
      <c r="D282" s="175"/>
      <c r="E282" s="175"/>
      <c r="F282" s="175"/>
      <c r="G282" s="176">
        <v>1688.0</v>
      </c>
    </row>
    <row r="283">
      <c r="A283" s="178">
        <v>1.0</v>
      </c>
      <c r="B283" s="178">
        <v>2.0</v>
      </c>
      <c r="C283" s="178">
        <v>3.0</v>
      </c>
      <c r="D283" s="178">
        <v>4.0</v>
      </c>
      <c r="E283" s="178">
        <v>5.0</v>
      </c>
      <c r="F283" s="178">
        <v>6.0</v>
      </c>
      <c r="G283" s="178">
        <v>7.0</v>
      </c>
    </row>
    <row r="284">
      <c r="A284" s="175"/>
      <c r="B284" s="204"/>
      <c r="C284" s="180"/>
      <c r="D284" s="180"/>
      <c r="E284" s="180"/>
      <c r="F284" s="204"/>
      <c r="G284" s="180"/>
    </row>
    <row r="285">
      <c r="A285" s="178">
        <v>8.0</v>
      </c>
      <c r="B285" s="178">
        <v>9.0</v>
      </c>
      <c r="C285" s="178">
        <v>10.0</v>
      </c>
      <c r="D285" s="178">
        <v>11.0</v>
      </c>
      <c r="E285" s="178">
        <v>12.0</v>
      </c>
      <c r="F285" s="178">
        <v>13.0</v>
      </c>
      <c r="G285" s="178">
        <v>14.0</v>
      </c>
    </row>
    <row r="286">
      <c r="A286" s="180"/>
      <c r="B286" s="180"/>
      <c r="C286" s="180"/>
      <c r="D286" s="193"/>
      <c r="E286" s="193"/>
      <c r="F286" s="195" t="s">
        <v>195</v>
      </c>
      <c r="G286" s="204"/>
    </row>
    <row r="287">
      <c r="A287" s="178">
        <v>15.0</v>
      </c>
      <c r="B287" s="178">
        <v>16.0</v>
      </c>
      <c r="C287" s="178">
        <v>17.0</v>
      </c>
      <c r="D287" s="178">
        <v>18.0</v>
      </c>
      <c r="E287" s="178">
        <v>19.0</v>
      </c>
      <c r="F287" s="178">
        <v>20.0</v>
      </c>
      <c r="G287" s="178">
        <v>21.0</v>
      </c>
    </row>
    <row r="288">
      <c r="A288" s="193"/>
      <c r="B288" s="180"/>
      <c r="C288" s="180"/>
      <c r="D288" s="180"/>
      <c r="E288" s="180"/>
      <c r="F288" s="175"/>
      <c r="G288" s="175"/>
    </row>
    <row r="289">
      <c r="A289" s="178">
        <v>22.0</v>
      </c>
      <c r="B289" s="178">
        <v>23.0</v>
      </c>
      <c r="C289" s="178">
        <v>24.0</v>
      </c>
      <c r="D289" s="178">
        <v>25.0</v>
      </c>
      <c r="E289" s="178">
        <v>26.0</v>
      </c>
      <c r="F289" s="178">
        <v>27.0</v>
      </c>
      <c r="G289" s="178">
        <v>28.0</v>
      </c>
    </row>
    <row r="290">
      <c r="A290" s="180"/>
      <c r="B290" s="180"/>
      <c r="C290" s="180"/>
      <c r="D290" s="205"/>
      <c r="E290" s="204"/>
      <c r="F290" s="180"/>
      <c r="G290" s="180"/>
    </row>
    <row r="291">
      <c r="A291" s="178">
        <v>29.0</v>
      </c>
      <c r="B291" s="178">
        <v>30.0</v>
      </c>
      <c r="C291" s="187">
        <v>31.0</v>
      </c>
      <c r="D291" s="187"/>
      <c r="E291" s="175"/>
      <c r="F291" s="175"/>
      <c r="G291" s="175"/>
    </row>
    <row r="292">
      <c r="A292" s="180"/>
      <c r="B292" s="180"/>
      <c r="C292" s="189"/>
      <c r="D292" s="190"/>
      <c r="E292" s="175"/>
      <c r="F292" s="175"/>
      <c r="G292" s="175"/>
    </row>
    <row r="293">
      <c r="A293" s="174" t="s">
        <v>3241</v>
      </c>
      <c r="D293" s="175"/>
      <c r="E293" s="175"/>
      <c r="F293" s="175"/>
      <c r="G293" s="176">
        <v>1688.0</v>
      </c>
    </row>
    <row r="294">
      <c r="A294" s="175"/>
      <c r="B294" s="175"/>
      <c r="C294" s="175"/>
      <c r="D294" s="178">
        <v>1.0</v>
      </c>
      <c r="E294" s="178">
        <v>2.0</v>
      </c>
      <c r="F294" s="178">
        <v>3.0</v>
      </c>
      <c r="G294" s="178">
        <v>4.0</v>
      </c>
    </row>
    <row r="295">
      <c r="A295" s="175"/>
      <c r="B295" s="175"/>
      <c r="C295" s="175"/>
      <c r="D295" s="180"/>
      <c r="E295" s="180"/>
      <c r="F295" s="180"/>
      <c r="G295" s="180"/>
    </row>
    <row r="296">
      <c r="A296" s="178">
        <v>5.0</v>
      </c>
      <c r="B296" s="178">
        <v>6.0</v>
      </c>
      <c r="C296" s="178">
        <v>7.0</v>
      </c>
      <c r="D296" s="178">
        <v>8.0</v>
      </c>
      <c r="E296" s="178">
        <v>9.0</v>
      </c>
      <c r="F296" s="178">
        <v>10.0</v>
      </c>
      <c r="G296" s="178">
        <v>11.0</v>
      </c>
    </row>
    <row r="297">
      <c r="A297" s="180"/>
      <c r="B297" s="180"/>
      <c r="C297" s="180"/>
      <c r="D297" s="180"/>
      <c r="E297" s="180"/>
      <c r="F297" s="180"/>
      <c r="G297" s="180"/>
    </row>
    <row r="298">
      <c r="A298" s="178">
        <v>12.0</v>
      </c>
      <c r="B298" s="178">
        <v>13.0</v>
      </c>
      <c r="C298" s="178">
        <v>14.0</v>
      </c>
      <c r="D298" s="178">
        <v>15.0</v>
      </c>
      <c r="E298" s="178">
        <v>16.0</v>
      </c>
      <c r="F298" s="178">
        <v>17.0</v>
      </c>
      <c r="G298" s="178">
        <v>18.0</v>
      </c>
    </row>
    <row r="299">
      <c r="A299" s="180"/>
      <c r="B299" s="232" t="s">
        <v>3276</v>
      </c>
      <c r="C299" s="180"/>
      <c r="D299" s="180"/>
      <c r="E299" s="175"/>
      <c r="F299" s="175"/>
      <c r="G299" s="175"/>
    </row>
    <row r="300">
      <c r="A300" s="178">
        <v>19.0</v>
      </c>
      <c r="B300" s="178">
        <v>20.0</v>
      </c>
      <c r="C300" s="178">
        <v>21.0</v>
      </c>
      <c r="D300" s="178">
        <v>22.0</v>
      </c>
      <c r="E300" s="178">
        <v>23.0</v>
      </c>
      <c r="F300" s="178">
        <v>24.0</v>
      </c>
      <c r="G300" s="178">
        <v>25.0</v>
      </c>
    </row>
    <row r="301">
      <c r="A301" s="180"/>
      <c r="B301" s="182" t="s">
        <v>1097</v>
      </c>
      <c r="C301" s="180"/>
      <c r="D301" s="193"/>
      <c r="E301" s="180"/>
      <c r="F301" s="180"/>
      <c r="G301" s="186"/>
    </row>
    <row r="302">
      <c r="A302" s="178">
        <v>26.0</v>
      </c>
      <c r="B302" s="178">
        <v>27.0</v>
      </c>
      <c r="C302" s="178">
        <v>28.0</v>
      </c>
      <c r="D302" s="178">
        <v>29.0</v>
      </c>
      <c r="E302" s="178">
        <v>30.0</v>
      </c>
      <c r="F302" s="187">
        <v>31.0</v>
      </c>
      <c r="G302" s="187"/>
    </row>
    <row r="303">
      <c r="A303" s="180"/>
      <c r="B303" s="180"/>
      <c r="C303" s="180"/>
      <c r="D303" s="231"/>
      <c r="E303" s="180"/>
      <c r="F303" s="189"/>
      <c r="G303" s="190"/>
    </row>
  </sheetData>
  <mergeCells count="26">
    <mergeCell ref="A2:C2"/>
    <mergeCell ref="A13:C13"/>
    <mergeCell ref="A27:C27"/>
    <mergeCell ref="A38:C38"/>
    <mergeCell ref="A49:C49"/>
    <mergeCell ref="A64:C64"/>
    <mergeCell ref="A75:C75"/>
    <mergeCell ref="A86:C86"/>
    <mergeCell ref="A99:C99"/>
    <mergeCell ref="A110:C110"/>
    <mergeCell ref="A123:C123"/>
    <mergeCell ref="A134:C134"/>
    <mergeCell ref="A145:C145"/>
    <mergeCell ref="A156:C156"/>
    <mergeCell ref="A247:C247"/>
    <mergeCell ref="A260:C260"/>
    <mergeCell ref="A271:C271"/>
    <mergeCell ref="A282:C282"/>
    <mergeCell ref="A293:C293"/>
    <mergeCell ref="A168:C168"/>
    <mergeCell ref="A179:C179"/>
    <mergeCell ref="A190:C190"/>
    <mergeCell ref="A201:C201"/>
    <mergeCell ref="A212:C212"/>
    <mergeCell ref="A225:C225"/>
    <mergeCell ref="A236:C236"/>
  </mergeCells>
  <printOptions gridLines="1" horizontalCentered="1"/>
  <pageMargins bottom="0.75" footer="0.0" header="0.0" left="0.7" right="0.7" top="0.75"/>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4.88"/>
    <col customWidth="1" min="6" max="6" width="6.75"/>
    <col customWidth="1" min="7" max="7" width="4.5"/>
    <col customWidth="1" min="8" max="8" width="5.5"/>
  </cols>
  <sheetData>
    <row r="1">
      <c r="A1" s="88" t="s">
        <v>3277</v>
      </c>
      <c r="C1" s="1"/>
      <c r="D1" s="1" t="s">
        <v>3278</v>
      </c>
      <c r="E1" s="1" t="s">
        <v>9</v>
      </c>
      <c r="F1" s="1" t="s">
        <v>3279</v>
      </c>
      <c r="G1" s="1" t="s">
        <v>394</v>
      </c>
      <c r="H1" s="1" t="s">
        <v>11</v>
      </c>
      <c r="I1" s="1" t="s">
        <v>3280</v>
      </c>
      <c r="J1" s="5"/>
      <c r="K1" s="5"/>
      <c r="L1" s="5"/>
      <c r="M1" s="5"/>
      <c r="N1" s="5"/>
      <c r="O1" s="5"/>
      <c r="P1" s="5"/>
      <c r="Q1" s="5"/>
      <c r="R1" s="5"/>
      <c r="S1" s="5"/>
      <c r="T1" s="5"/>
      <c r="U1" s="5"/>
      <c r="V1" s="5"/>
      <c r="W1" s="5"/>
      <c r="X1" s="5"/>
      <c r="Y1" s="5"/>
      <c r="Z1" s="5"/>
      <c r="AA1" s="5"/>
      <c r="AB1" s="5"/>
      <c r="AC1" s="5"/>
    </row>
    <row r="3">
      <c r="A3" s="7" t="s">
        <v>64</v>
      </c>
      <c r="B3" s="142"/>
      <c r="C3" s="139"/>
      <c r="D3" s="139" t="s">
        <v>64</v>
      </c>
      <c r="E3" s="138">
        <v>1111.0</v>
      </c>
      <c r="F3" s="139"/>
      <c r="G3" s="139"/>
      <c r="H3" s="233"/>
      <c r="I3" s="139" t="s">
        <v>950</v>
      </c>
    </row>
    <row r="4">
      <c r="A4" s="7" t="s">
        <v>64</v>
      </c>
      <c r="B4" s="142"/>
      <c r="C4" s="139"/>
      <c r="D4" s="139" t="s">
        <v>64</v>
      </c>
      <c r="E4" s="138">
        <v>1111.0</v>
      </c>
      <c r="F4" s="139"/>
      <c r="G4" s="139"/>
      <c r="H4" s="233"/>
      <c r="I4" s="139" t="s">
        <v>961</v>
      </c>
    </row>
    <row r="5">
      <c r="A5" s="1"/>
      <c r="B5" s="157"/>
      <c r="C5" s="156"/>
      <c r="D5" s="156"/>
      <c r="E5" s="1">
        <v>1111.0</v>
      </c>
      <c r="F5" s="1">
        <v>11.0</v>
      </c>
      <c r="G5" s="1">
        <v>11.0</v>
      </c>
      <c r="H5" s="24"/>
      <c r="I5" s="1" t="s">
        <v>476</v>
      </c>
      <c r="J5" s="5"/>
      <c r="K5" s="5"/>
      <c r="L5" s="5"/>
      <c r="M5" s="5"/>
      <c r="N5" s="5"/>
      <c r="O5" s="5"/>
      <c r="P5" s="5"/>
      <c r="Q5" s="5"/>
      <c r="R5" s="5"/>
      <c r="S5" s="5"/>
      <c r="T5" s="5"/>
      <c r="U5" s="5"/>
      <c r="V5" s="5"/>
      <c r="W5" s="5"/>
      <c r="X5" s="5"/>
      <c r="Y5" s="5"/>
      <c r="Z5" s="5"/>
      <c r="AA5" s="5"/>
      <c r="AB5" s="5"/>
      <c r="AC5" s="5"/>
    </row>
    <row r="6">
      <c r="A6" s="7" t="s">
        <v>64</v>
      </c>
      <c r="B6" s="142"/>
      <c r="C6" s="155"/>
      <c r="D6" s="155" t="s">
        <v>64</v>
      </c>
      <c r="E6" s="7">
        <v>1111.0</v>
      </c>
      <c r="F6" s="7">
        <v>11.0</v>
      </c>
      <c r="G6" s="7">
        <v>11.0</v>
      </c>
      <c r="H6" s="10">
        <v>0.46597222222222223</v>
      </c>
      <c r="I6" s="7" t="s">
        <v>3281</v>
      </c>
    </row>
    <row r="7">
      <c r="A7" s="7" t="s">
        <v>64</v>
      </c>
      <c r="B7" s="155" t="s">
        <v>68</v>
      </c>
      <c r="C7" s="155"/>
      <c r="D7" s="155" t="s">
        <v>64</v>
      </c>
      <c r="E7" s="7">
        <v>1119.0</v>
      </c>
      <c r="F7" s="7"/>
      <c r="G7" s="7"/>
      <c r="I7" s="7" t="s">
        <v>3282</v>
      </c>
    </row>
    <row r="8">
      <c r="A8" s="7" t="s">
        <v>95</v>
      </c>
      <c r="B8" s="155"/>
      <c r="C8" s="155"/>
      <c r="D8" s="155" t="s">
        <v>64</v>
      </c>
      <c r="E8" s="7">
        <v>1123.0</v>
      </c>
      <c r="F8" s="7"/>
      <c r="G8" s="7"/>
      <c r="I8" s="7" t="s">
        <v>3283</v>
      </c>
    </row>
    <row r="9">
      <c r="A9" s="7"/>
      <c r="B9" s="142"/>
      <c r="C9" s="155"/>
      <c r="D9" s="155" t="s">
        <v>64</v>
      </c>
      <c r="E9" s="7">
        <v>1124.0</v>
      </c>
      <c r="F9" s="7"/>
      <c r="G9" s="7"/>
      <c r="I9" s="7" t="s">
        <v>3284</v>
      </c>
    </row>
    <row r="10">
      <c r="A10" s="7" t="s">
        <v>70</v>
      </c>
      <c r="B10" s="142"/>
      <c r="C10" s="155"/>
      <c r="D10" s="155" t="s">
        <v>64</v>
      </c>
      <c r="E10" s="7">
        <v>1128.0</v>
      </c>
      <c r="F10" s="7"/>
      <c r="G10" s="7"/>
      <c r="I10" s="7" t="s">
        <v>3285</v>
      </c>
    </row>
    <row r="11">
      <c r="A11" s="7" t="s">
        <v>96</v>
      </c>
      <c r="B11" s="142"/>
      <c r="C11" s="155"/>
      <c r="D11" s="155" t="s">
        <v>64</v>
      </c>
      <c r="E11" s="7">
        <v>1131.0</v>
      </c>
      <c r="F11" s="7"/>
      <c r="G11" s="7"/>
      <c r="I11" s="7" t="s">
        <v>3286</v>
      </c>
    </row>
    <row r="12">
      <c r="A12" s="1"/>
      <c r="B12" s="157"/>
      <c r="C12" s="157"/>
      <c r="D12" s="157"/>
      <c r="E12" s="1">
        <v>1411.0</v>
      </c>
      <c r="F12" s="1">
        <v>11.0</v>
      </c>
      <c r="G12" s="1">
        <v>11.0</v>
      </c>
      <c r="H12" s="5"/>
      <c r="I12" s="1" t="s">
        <v>514</v>
      </c>
      <c r="J12" s="5"/>
      <c r="K12" s="5"/>
      <c r="L12" s="5"/>
      <c r="M12" s="5"/>
      <c r="N12" s="5"/>
      <c r="O12" s="5"/>
      <c r="P12" s="5"/>
      <c r="Q12" s="5"/>
      <c r="R12" s="5"/>
      <c r="S12" s="5"/>
      <c r="T12" s="5"/>
      <c r="U12" s="5"/>
      <c r="V12" s="5"/>
      <c r="W12" s="5"/>
      <c r="X12" s="5"/>
      <c r="Y12" s="5"/>
      <c r="Z12" s="5"/>
      <c r="AA12" s="5"/>
      <c r="AB12" s="5"/>
      <c r="AC12" s="5"/>
    </row>
    <row r="13">
      <c r="A13" s="7"/>
      <c r="B13" s="142"/>
      <c r="C13" s="142"/>
      <c r="D13" s="142"/>
      <c r="E13" s="7">
        <v>1411.0</v>
      </c>
      <c r="F13" s="7">
        <v>11.0</v>
      </c>
      <c r="G13" s="7">
        <v>11.0</v>
      </c>
      <c r="H13" s="10">
        <v>0.125</v>
      </c>
      <c r="I13" s="7" t="s">
        <v>3287</v>
      </c>
    </row>
    <row r="14">
      <c r="A14" s="7" t="s">
        <v>43</v>
      </c>
      <c r="B14" s="142"/>
      <c r="C14" s="142"/>
      <c r="D14" s="142" t="s">
        <v>16</v>
      </c>
      <c r="E14" s="7">
        <v>1641.0</v>
      </c>
      <c r="F14" s="7">
        <v>11.0</v>
      </c>
      <c r="G14" s="7">
        <v>29.0</v>
      </c>
      <c r="I14" s="7" t="s">
        <v>3288</v>
      </c>
    </row>
    <row r="15">
      <c r="C15" s="7"/>
      <c r="D15" s="7" t="s">
        <v>16</v>
      </c>
      <c r="E15" s="7">
        <v>1644.0</v>
      </c>
      <c r="F15" s="7">
        <v>8.0</v>
      </c>
      <c r="G15" s="7">
        <v>8.0</v>
      </c>
      <c r="I15" s="7" t="s">
        <v>1089</v>
      </c>
    </row>
    <row r="16">
      <c r="A16" s="7" t="s">
        <v>43</v>
      </c>
      <c r="B16" s="142"/>
      <c r="C16" s="142"/>
      <c r="D16" s="142" t="s">
        <v>16</v>
      </c>
      <c r="E16" s="7">
        <v>1647.0</v>
      </c>
      <c r="F16" s="7">
        <v>4.0</v>
      </c>
      <c r="G16" s="7">
        <v>14.0</v>
      </c>
      <c r="I16" s="7" t="s">
        <v>3289</v>
      </c>
    </row>
    <row r="17">
      <c r="A17" s="7" t="s">
        <v>86</v>
      </c>
      <c r="B17" s="155"/>
      <c r="C17" s="155"/>
      <c r="D17" s="155" t="s">
        <v>16</v>
      </c>
      <c r="E17" s="7">
        <v>1651.0</v>
      </c>
      <c r="F17" s="7"/>
      <c r="G17" s="7"/>
      <c r="I17" s="7" t="s">
        <v>3290</v>
      </c>
    </row>
    <row r="18">
      <c r="A18" s="7"/>
      <c r="B18" s="155"/>
      <c r="C18" s="155"/>
      <c r="D18" s="155" t="s">
        <v>16</v>
      </c>
      <c r="E18" s="7">
        <v>1652.0</v>
      </c>
      <c r="F18" s="7"/>
      <c r="G18" s="7"/>
      <c r="I18" s="7" t="s">
        <v>3291</v>
      </c>
    </row>
    <row r="19">
      <c r="A19" s="7" t="s">
        <v>46</v>
      </c>
      <c r="B19" s="155"/>
      <c r="C19" s="155"/>
      <c r="D19" s="155" t="s">
        <v>16</v>
      </c>
      <c r="E19" s="7">
        <v>1655.0</v>
      </c>
      <c r="F19" s="7"/>
      <c r="G19" s="7"/>
      <c r="I19" s="7" t="s">
        <v>3292</v>
      </c>
    </row>
    <row r="20">
      <c r="A20" s="7" t="s">
        <v>51</v>
      </c>
      <c r="B20" s="142"/>
      <c r="C20" s="155"/>
      <c r="D20" s="155" t="s">
        <v>16</v>
      </c>
      <c r="E20" s="7">
        <v>1656.0</v>
      </c>
      <c r="F20" s="7"/>
      <c r="G20" s="7"/>
      <c r="I20" s="7" t="s">
        <v>3293</v>
      </c>
    </row>
    <row r="21">
      <c r="A21" s="7" t="s">
        <v>43</v>
      </c>
      <c r="B21" s="142"/>
      <c r="C21" s="142"/>
      <c r="D21" s="142" t="s">
        <v>16</v>
      </c>
      <c r="E21" s="7">
        <v>1667.0</v>
      </c>
      <c r="F21" s="7">
        <v>8.0</v>
      </c>
      <c r="G21" s="7">
        <v>15.0</v>
      </c>
      <c r="I21" s="7" t="s">
        <v>3294</v>
      </c>
    </row>
    <row r="22">
      <c r="A22" s="7" t="s">
        <v>86</v>
      </c>
      <c r="C22" s="7"/>
      <c r="D22" s="7" t="s">
        <v>16</v>
      </c>
      <c r="E22" s="7">
        <v>1668.0</v>
      </c>
      <c r="F22" s="7"/>
      <c r="G22" s="7"/>
      <c r="I22" s="7" t="s">
        <v>3295</v>
      </c>
    </row>
    <row r="23">
      <c r="A23" s="7" t="s">
        <v>86</v>
      </c>
      <c r="C23" s="7"/>
      <c r="D23" s="7" t="s">
        <v>16</v>
      </c>
      <c r="E23" s="7">
        <v>1669.0</v>
      </c>
      <c r="F23" s="7"/>
      <c r="G23" s="7"/>
      <c r="I23" s="7" t="s">
        <v>3296</v>
      </c>
    </row>
    <row r="24">
      <c r="A24" s="7" t="s">
        <v>51</v>
      </c>
      <c r="C24" s="7"/>
      <c r="D24" s="7" t="s">
        <v>16</v>
      </c>
      <c r="E24" s="7">
        <v>1670.0</v>
      </c>
      <c r="F24" s="7"/>
      <c r="G24" s="7"/>
      <c r="I24" s="7" t="s">
        <v>3297</v>
      </c>
    </row>
    <row r="25">
      <c r="A25" s="7" t="s">
        <v>86</v>
      </c>
      <c r="C25" s="7"/>
      <c r="D25" s="7" t="s">
        <v>16</v>
      </c>
      <c r="E25" s="7">
        <v>1671.0</v>
      </c>
      <c r="F25" s="7"/>
      <c r="G25" s="7"/>
      <c r="I25" s="7" t="s">
        <v>3298</v>
      </c>
    </row>
    <row r="26">
      <c r="A26" s="7" t="s">
        <v>64</v>
      </c>
      <c r="C26" s="7"/>
      <c r="D26" s="7" t="s">
        <v>16</v>
      </c>
      <c r="E26" s="7">
        <v>1672.0</v>
      </c>
      <c r="F26" s="7"/>
      <c r="G26" s="7"/>
      <c r="I26" s="7" t="s">
        <v>3299</v>
      </c>
    </row>
    <row r="27">
      <c r="A27" s="7" t="s">
        <v>58</v>
      </c>
      <c r="B27" s="7" t="s">
        <v>92</v>
      </c>
      <c r="C27" s="7"/>
      <c r="D27" s="7" t="s">
        <v>16</v>
      </c>
      <c r="E27" s="7">
        <v>1680.0</v>
      </c>
      <c r="F27" s="7"/>
      <c r="G27" s="7"/>
      <c r="I27" s="7" t="s">
        <v>3300</v>
      </c>
    </row>
    <row r="28">
      <c r="A28" s="7" t="s">
        <v>58</v>
      </c>
      <c r="C28" s="7"/>
      <c r="D28" s="7" t="s">
        <v>16</v>
      </c>
      <c r="E28" s="7">
        <v>1681.0</v>
      </c>
      <c r="F28" s="7"/>
      <c r="G28" s="7"/>
      <c r="I28" s="7" t="s">
        <v>3301</v>
      </c>
    </row>
    <row r="29">
      <c r="A29" s="7" t="s">
        <v>51</v>
      </c>
      <c r="C29" s="7"/>
      <c r="D29" s="7" t="s">
        <v>16</v>
      </c>
      <c r="E29" s="7">
        <v>1686.0</v>
      </c>
      <c r="F29" s="7"/>
      <c r="G29" s="7"/>
      <c r="I29" s="7" t="s">
        <v>3302</v>
      </c>
    </row>
    <row r="30">
      <c r="C30" s="7"/>
      <c r="D30" s="7" t="s">
        <v>16</v>
      </c>
      <c r="E30" s="7">
        <v>1686.0</v>
      </c>
      <c r="F30" s="7">
        <v>11.0</v>
      </c>
      <c r="G30" s="7">
        <v>11.0</v>
      </c>
      <c r="I30" s="7" t="s">
        <v>3303</v>
      </c>
    </row>
    <row r="31">
      <c r="C31" s="7"/>
      <c r="D31" s="7" t="s">
        <v>16</v>
      </c>
      <c r="E31" s="7">
        <v>1686.0</v>
      </c>
      <c r="F31" s="7">
        <v>11.0</v>
      </c>
      <c r="G31" s="7">
        <v>12.0</v>
      </c>
      <c r="I31" s="7" t="s">
        <v>3304</v>
      </c>
    </row>
    <row r="32">
      <c r="A32" s="7" t="s">
        <v>58</v>
      </c>
      <c r="C32" s="7"/>
      <c r="D32" s="7" t="s">
        <v>16</v>
      </c>
      <c r="E32" s="7">
        <v>1687.0</v>
      </c>
      <c r="F32" s="7"/>
      <c r="G32" s="7"/>
      <c r="I32" s="7" t="s">
        <v>3305</v>
      </c>
    </row>
    <row r="33">
      <c r="C33" s="7"/>
      <c r="D33" s="7" t="s">
        <v>16</v>
      </c>
      <c r="E33" s="7">
        <v>1687.0</v>
      </c>
      <c r="F33" s="7">
        <v>6.0</v>
      </c>
      <c r="G33" s="7">
        <v>24.0</v>
      </c>
      <c r="I33" s="7" t="s">
        <v>3306</v>
      </c>
    </row>
    <row r="34">
      <c r="C34" s="7"/>
      <c r="D34" s="7" t="s">
        <v>16</v>
      </c>
      <c r="E34" s="7">
        <v>1687.0</v>
      </c>
      <c r="F34" s="7">
        <v>8.0</v>
      </c>
      <c r="G34" s="7">
        <v>9.0</v>
      </c>
      <c r="I34" s="7" t="s">
        <v>3307</v>
      </c>
    </row>
    <row r="35">
      <c r="C35" s="7"/>
      <c r="D35" s="7" t="s">
        <v>16</v>
      </c>
      <c r="E35" s="7">
        <v>1687.0</v>
      </c>
      <c r="F35" s="7">
        <v>8.0</v>
      </c>
      <c r="G35" s="7">
        <v>10.0</v>
      </c>
      <c r="I35" s="7" t="s">
        <v>3308</v>
      </c>
    </row>
    <row r="36">
      <c r="C36" s="7"/>
      <c r="D36" s="7" t="s">
        <v>16</v>
      </c>
      <c r="E36" s="7">
        <v>1687.0</v>
      </c>
      <c r="F36" s="7">
        <v>8.0</v>
      </c>
      <c r="G36" s="7">
        <v>11.0</v>
      </c>
      <c r="I36" s="7" t="s">
        <v>3309</v>
      </c>
    </row>
    <row r="37">
      <c r="C37" s="7"/>
      <c r="D37" s="7" t="s">
        <v>16</v>
      </c>
      <c r="E37" s="7">
        <v>1687.0</v>
      </c>
      <c r="F37" s="7">
        <v>8.0</v>
      </c>
      <c r="G37" s="7">
        <v>13.0</v>
      </c>
      <c r="I37" s="7" t="s">
        <v>3310</v>
      </c>
    </row>
    <row r="38">
      <c r="C38" s="7"/>
      <c r="D38" s="7" t="s">
        <v>16</v>
      </c>
      <c r="E38" s="7">
        <v>1687.0</v>
      </c>
      <c r="F38" s="7">
        <v>8.0</v>
      </c>
      <c r="G38" s="7">
        <v>14.0</v>
      </c>
      <c r="I38" s="7" t="s">
        <v>3311</v>
      </c>
    </row>
    <row r="39">
      <c r="C39" s="7"/>
      <c r="D39" s="7" t="s">
        <v>16</v>
      </c>
      <c r="E39" s="7">
        <v>1687.0</v>
      </c>
      <c r="F39" s="7">
        <v>9.0</v>
      </c>
      <c r="G39" s="7">
        <v>2.0</v>
      </c>
      <c r="I39" s="7" t="s">
        <v>3312</v>
      </c>
    </row>
    <row r="40">
      <c r="A40" s="7" t="s">
        <v>53</v>
      </c>
      <c r="C40" s="7"/>
      <c r="D40" s="7" t="s">
        <v>16</v>
      </c>
      <c r="E40" s="7">
        <v>1687.0</v>
      </c>
      <c r="F40" s="7">
        <v>9.0</v>
      </c>
      <c r="G40" s="7">
        <v>3.0</v>
      </c>
      <c r="I40" s="7" t="s">
        <v>3313</v>
      </c>
    </row>
    <row r="41">
      <c r="C41" s="7"/>
      <c r="D41" s="7" t="s">
        <v>16</v>
      </c>
      <c r="E41" s="7">
        <v>1687.0</v>
      </c>
      <c r="F41" s="7">
        <v>10.0</v>
      </c>
      <c r="G41" s="7">
        <v>31.0</v>
      </c>
      <c r="I41" s="7" t="s">
        <v>3314</v>
      </c>
    </row>
    <row r="42">
      <c r="A42" s="7" t="s">
        <v>46</v>
      </c>
      <c r="B42" s="7"/>
      <c r="C42" s="7"/>
      <c r="D42" s="7" t="s">
        <v>16</v>
      </c>
      <c r="E42" s="7">
        <v>1687.0</v>
      </c>
      <c r="F42" s="7">
        <v>11.0</v>
      </c>
      <c r="G42" s="7">
        <v>11.0</v>
      </c>
      <c r="I42" s="7" t="s">
        <v>3315</v>
      </c>
    </row>
    <row r="43">
      <c r="C43" s="7"/>
      <c r="D43" s="7" t="s">
        <v>16</v>
      </c>
      <c r="E43" s="7">
        <v>1687.0</v>
      </c>
      <c r="F43" s="7">
        <v>12.0</v>
      </c>
      <c r="G43" s="7">
        <v>30.0</v>
      </c>
      <c r="I43" s="7" t="s">
        <v>3316</v>
      </c>
    </row>
    <row r="44">
      <c r="C44" s="7"/>
      <c r="D44" s="7" t="s">
        <v>16</v>
      </c>
      <c r="E44" s="7">
        <v>1687.0</v>
      </c>
      <c r="F44" s="7">
        <v>12.0</v>
      </c>
      <c r="G44" s="7">
        <v>31.0</v>
      </c>
      <c r="I44" s="7" t="s">
        <v>3317</v>
      </c>
    </row>
    <row r="45">
      <c r="A45" s="7" t="s">
        <v>88</v>
      </c>
      <c r="C45" s="7"/>
      <c r="D45" s="7" t="s">
        <v>16</v>
      </c>
      <c r="E45" s="7">
        <v>1688.0</v>
      </c>
      <c r="F45" s="7">
        <v>1.0</v>
      </c>
      <c r="G45" s="7">
        <v>1.0</v>
      </c>
      <c r="I45" s="7" t="s">
        <v>3318</v>
      </c>
    </row>
    <row r="46">
      <c r="C46" s="7"/>
      <c r="D46" s="7" t="s">
        <v>16</v>
      </c>
      <c r="E46" s="7">
        <v>1688.0</v>
      </c>
      <c r="F46" s="7">
        <v>1.0</v>
      </c>
      <c r="G46" s="7">
        <v>2.0</v>
      </c>
      <c r="I46" s="7" t="s">
        <v>3319</v>
      </c>
    </row>
    <row r="47">
      <c r="C47" s="7"/>
      <c r="D47" s="7" t="s">
        <v>16</v>
      </c>
      <c r="E47" s="7">
        <v>1688.0</v>
      </c>
      <c r="F47" s="7">
        <v>2.0</v>
      </c>
      <c r="G47" s="7">
        <v>22.0</v>
      </c>
      <c r="I47" s="7" t="s">
        <v>3320</v>
      </c>
    </row>
    <row r="48">
      <c r="C48" s="7"/>
      <c r="D48" s="7" t="s">
        <v>16</v>
      </c>
      <c r="E48" s="7">
        <v>1688.0</v>
      </c>
      <c r="F48" s="7">
        <v>2.0</v>
      </c>
      <c r="G48" s="7">
        <v>23.0</v>
      </c>
      <c r="I48" s="7" t="s">
        <v>3321</v>
      </c>
    </row>
    <row r="49">
      <c r="C49" s="7"/>
      <c r="D49" s="7" t="s">
        <v>16</v>
      </c>
      <c r="E49" s="7">
        <v>1688.0</v>
      </c>
      <c r="F49" s="7">
        <v>3.0</v>
      </c>
      <c r="G49" s="7">
        <v>23.0</v>
      </c>
      <c r="I49" s="7" t="s">
        <v>3322</v>
      </c>
    </row>
    <row r="50">
      <c r="C50" s="7"/>
      <c r="D50" s="7" t="s">
        <v>16</v>
      </c>
      <c r="E50" s="7">
        <v>1688.0</v>
      </c>
      <c r="F50" s="7">
        <v>3.0</v>
      </c>
      <c r="G50" s="7">
        <v>24.0</v>
      </c>
      <c r="I50" s="7" t="s">
        <v>3323</v>
      </c>
    </row>
    <row r="51">
      <c r="C51" s="7"/>
      <c r="D51" s="7" t="s">
        <v>16</v>
      </c>
      <c r="E51" s="7">
        <v>1688.0</v>
      </c>
      <c r="F51" s="7">
        <v>3.0</v>
      </c>
      <c r="G51" s="7">
        <v>25.0</v>
      </c>
      <c r="I51" s="7" t="s">
        <v>3324</v>
      </c>
    </row>
    <row r="52">
      <c r="C52" s="7"/>
      <c r="D52" s="7" t="s">
        <v>16</v>
      </c>
      <c r="E52" s="7">
        <v>1688.0</v>
      </c>
      <c r="F52" s="7">
        <v>4.0</v>
      </c>
      <c r="G52" s="7">
        <v>14.0</v>
      </c>
      <c r="I52" s="7" t="s">
        <v>3325</v>
      </c>
    </row>
    <row r="53">
      <c r="A53" s="7" t="s">
        <v>22</v>
      </c>
      <c r="B53" s="7" t="s">
        <v>37</v>
      </c>
      <c r="C53" s="155" t="s">
        <v>90</v>
      </c>
      <c r="D53" s="142" t="s">
        <v>16</v>
      </c>
      <c r="E53" s="141">
        <v>1688.0</v>
      </c>
      <c r="F53" s="141">
        <v>5.0</v>
      </c>
      <c r="G53" s="141">
        <v>15.0</v>
      </c>
      <c r="H53" s="233"/>
      <c r="I53" s="142" t="s">
        <v>3326</v>
      </c>
    </row>
    <row r="54">
      <c r="A54" s="7" t="s">
        <v>92</v>
      </c>
      <c r="B54" s="7" t="s">
        <v>94</v>
      </c>
      <c r="C54" s="7"/>
      <c r="D54" s="7" t="s">
        <v>16</v>
      </c>
      <c r="E54" s="7">
        <v>1688.0</v>
      </c>
      <c r="F54" s="7">
        <v>6.0</v>
      </c>
      <c r="G54" s="7">
        <v>1.0</v>
      </c>
      <c r="I54" s="7" t="s">
        <v>3327</v>
      </c>
    </row>
    <row r="55">
      <c r="A55" s="7" t="s">
        <v>92</v>
      </c>
      <c r="C55" s="7"/>
      <c r="D55" s="7" t="s">
        <v>16</v>
      </c>
      <c r="E55" s="7">
        <v>1688.0</v>
      </c>
      <c r="F55" s="7">
        <v>6.0</v>
      </c>
      <c r="G55" s="7">
        <v>2.0</v>
      </c>
      <c r="I55" s="7" t="s">
        <v>3328</v>
      </c>
    </row>
    <row r="56">
      <c r="C56" s="7"/>
      <c r="D56" s="7" t="s">
        <v>16</v>
      </c>
      <c r="E56" s="7">
        <v>1688.0</v>
      </c>
      <c r="F56" s="7">
        <v>6.0</v>
      </c>
      <c r="G56" s="7">
        <v>3.0</v>
      </c>
      <c r="I56" s="7" t="s">
        <v>3274</v>
      </c>
    </row>
    <row r="57">
      <c r="C57" s="7"/>
      <c r="D57" s="7" t="s">
        <v>16</v>
      </c>
      <c r="E57" s="7">
        <v>1688.0</v>
      </c>
      <c r="F57" s="7">
        <v>6.0</v>
      </c>
      <c r="G57" s="7">
        <v>20.0</v>
      </c>
      <c r="I57" s="7" t="s">
        <v>1092</v>
      </c>
    </row>
    <row r="58">
      <c r="C58" s="7"/>
      <c r="D58" s="7" t="s">
        <v>16</v>
      </c>
      <c r="E58" s="7">
        <v>1688.0</v>
      </c>
      <c r="F58" s="7">
        <v>7.0</v>
      </c>
      <c r="G58" s="7">
        <v>29.0</v>
      </c>
      <c r="I58" s="7" t="s">
        <v>1094</v>
      </c>
    </row>
    <row r="59">
      <c r="C59" s="7"/>
      <c r="D59" s="7" t="s">
        <v>16</v>
      </c>
      <c r="E59" s="7">
        <v>1688.0</v>
      </c>
      <c r="F59" s="7">
        <v>9.0</v>
      </c>
      <c r="G59" s="7">
        <v>24.0</v>
      </c>
      <c r="I59" s="7" t="s">
        <v>3275</v>
      </c>
    </row>
    <row r="60">
      <c r="A60" s="7" t="s">
        <v>28</v>
      </c>
      <c r="B60" s="7"/>
      <c r="C60" s="7"/>
      <c r="D60" s="7" t="s">
        <v>16</v>
      </c>
      <c r="E60" s="7">
        <v>1688.0</v>
      </c>
      <c r="F60" s="7">
        <v>12.0</v>
      </c>
      <c r="G60" s="7">
        <v>13.0</v>
      </c>
      <c r="I60" s="7" t="s">
        <v>3329</v>
      </c>
    </row>
    <row r="61">
      <c r="C61" s="7"/>
      <c r="D61" s="7" t="s">
        <v>16</v>
      </c>
      <c r="E61" s="7">
        <v>1688.0</v>
      </c>
      <c r="F61" s="7">
        <v>12.0</v>
      </c>
      <c r="G61" s="7">
        <v>20.0</v>
      </c>
      <c r="I61" s="7" t="s">
        <v>1097</v>
      </c>
    </row>
    <row r="62">
      <c r="A62" s="7" t="s">
        <v>51</v>
      </c>
      <c r="B62" s="142"/>
      <c r="C62" s="155"/>
      <c r="D62" s="155" t="s">
        <v>16</v>
      </c>
      <c r="E62" s="145">
        <v>1689.0</v>
      </c>
      <c r="F62" s="138"/>
      <c r="G62" s="138"/>
      <c r="H62" s="233"/>
      <c r="I62" s="155" t="s">
        <v>3330</v>
      </c>
    </row>
    <row r="63">
      <c r="A63" s="7" t="s">
        <v>25</v>
      </c>
      <c r="B63" s="155" t="s">
        <v>58</v>
      </c>
      <c r="C63" s="142"/>
      <c r="D63" s="142" t="s">
        <v>16</v>
      </c>
      <c r="E63" s="138">
        <v>1690.0</v>
      </c>
      <c r="F63" s="138">
        <v>9.0</v>
      </c>
      <c r="G63" s="138">
        <v>1.0</v>
      </c>
      <c r="H63" s="233"/>
      <c r="I63" s="139" t="s">
        <v>3331</v>
      </c>
    </row>
    <row r="64">
      <c r="C64" s="7"/>
      <c r="D64" s="7" t="s">
        <v>16</v>
      </c>
      <c r="E64" s="7">
        <v>1692.0</v>
      </c>
      <c r="F64" s="7">
        <v>3.0</v>
      </c>
      <c r="G64" s="7">
        <v>21.0</v>
      </c>
      <c r="I64" s="7" t="s">
        <v>3332</v>
      </c>
    </row>
    <row r="65">
      <c r="A65" s="7" t="s">
        <v>28</v>
      </c>
      <c r="B65" s="7"/>
      <c r="C65" s="7"/>
      <c r="D65" s="7" t="s">
        <v>16</v>
      </c>
      <c r="E65" s="7">
        <v>1692.0</v>
      </c>
      <c r="F65" s="7">
        <v>11.0</v>
      </c>
      <c r="G65" s="7">
        <v>11.0</v>
      </c>
      <c r="I65" s="7" t="s">
        <v>3333</v>
      </c>
    </row>
    <row r="66">
      <c r="A66" s="7" t="s">
        <v>37</v>
      </c>
      <c r="B66" s="155"/>
      <c r="C66" s="155"/>
      <c r="D66" s="155" t="s">
        <v>16</v>
      </c>
      <c r="E66" s="145">
        <v>1694.0</v>
      </c>
      <c r="F66" s="145">
        <v>12.0</v>
      </c>
      <c r="G66" s="145">
        <v>14.0</v>
      </c>
      <c r="H66" s="233"/>
      <c r="I66" s="155" t="s">
        <v>3334</v>
      </c>
    </row>
    <row r="67">
      <c r="A67" s="7" t="s">
        <v>25</v>
      </c>
      <c r="B67" s="142"/>
      <c r="C67" s="142"/>
      <c r="D67" s="142" t="s">
        <v>16</v>
      </c>
      <c r="E67" s="138">
        <v>1696.0</v>
      </c>
      <c r="F67" s="138">
        <v>4.0</v>
      </c>
      <c r="G67" s="138">
        <v>1.0</v>
      </c>
      <c r="H67" s="233"/>
      <c r="I67" s="139" t="s">
        <v>3335</v>
      </c>
    </row>
    <row r="68">
      <c r="A68" s="7" t="s">
        <v>25</v>
      </c>
      <c r="B68" s="142"/>
      <c r="C68" s="142"/>
      <c r="D68" s="142" t="s">
        <v>16</v>
      </c>
      <c r="E68" s="138">
        <v>1698.0</v>
      </c>
      <c r="F68" s="138">
        <v>9.0</v>
      </c>
      <c r="G68" s="138">
        <v>8.0</v>
      </c>
      <c r="H68" s="233"/>
      <c r="I68" s="139" t="s">
        <v>3336</v>
      </c>
    </row>
    <row r="69">
      <c r="A69" s="7" t="s">
        <v>86</v>
      </c>
      <c r="C69" s="7"/>
      <c r="D69" s="7" t="s">
        <v>16</v>
      </c>
      <c r="E69" s="7">
        <v>1700.0</v>
      </c>
      <c r="F69" s="7"/>
      <c r="G69" s="7"/>
      <c r="H69" s="151"/>
      <c r="I69" s="7" t="s">
        <v>3337</v>
      </c>
    </row>
    <row r="70">
      <c r="A70" s="7" t="s">
        <v>74</v>
      </c>
      <c r="C70" s="7"/>
      <c r="D70" s="7" t="s">
        <v>16</v>
      </c>
      <c r="E70" s="7">
        <v>1701.0</v>
      </c>
      <c r="F70" s="7"/>
      <c r="G70" s="7"/>
      <c r="H70" s="151"/>
      <c r="I70" s="7" t="s">
        <v>3338</v>
      </c>
    </row>
    <row r="71">
      <c r="C71" s="7"/>
      <c r="D71" s="7" t="s">
        <v>16</v>
      </c>
      <c r="E71" s="7">
        <v>1702.0</v>
      </c>
      <c r="F71" s="7">
        <v>3.0</v>
      </c>
      <c r="G71" s="7">
        <v>19.0</v>
      </c>
      <c r="H71" s="151"/>
      <c r="I71" s="7" t="s">
        <v>3339</v>
      </c>
    </row>
    <row r="72">
      <c r="A72" s="7" t="s">
        <v>35</v>
      </c>
      <c r="B72" s="155"/>
      <c r="C72" s="155"/>
      <c r="D72" s="155" t="s">
        <v>16</v>
      </c>
      <c r="E72" s="145">
        <v>1704.0</v>
      </c>
      <c r="F72" s="145">
        <v>4.0</v>
      </c>
      <c r="G72" s="145">
        <v>1.0</v>
      </c>
      <c r="H72" s="233"/>
      <c r="I72" s="155" t="s">
        <v>3340</v>
      </c>
    </row>
    <row r="73">
      <c r="A73" s="7" t="s">
        <v>100</v>
      </c>
      <c r="C73" s="7"/>
      <c r="D73" s="7" t="s">
        <v>16</v>
      </c>
      <c r="E73" s="7">
        <v>1705.0</v>
      </c>
      <c r="F73" s="7"/>
      <c r="G73" s="7"/>
      <c r="I73" s="7" t="s">
        <v>3341</v>
      </c>
    </row>
    <row r="74">
      <c r="A74" s="7" t="s">
        <v>74</v>
      </c>
      <c r="C74" s="7"/>
      <c r="D74" s="7" t="s">
        <v>16</v>
      </c>
      <c r="E74" s="7">
        <v>1706.0</v>
      </c>
      <c r="F74" s="7"/>
      <c r="G74" s="7"/>
      <c r="I74" s="7" t="s">
        <v>3342</v>
      </c>
    </row>
    <row r="75">
      <c r="C75" s="7"/>
      <c r="D75" s="7" t="s">
        <v>16</v>
      </c>
      <c r="E75" s="7">
        <v>1706.0</v>
      </c>
      <c r="F75" s="7">
        <v>5.0</v>
      </c>
      <c r="G75" s="7">
        <v>5.0</v>
      </c>
      <c r="I75" s="7" t="s">
        <v>1099</v>
      </c>
    </row>
    <row r="76">
      <c r="A76" s="7" t="s">
        <v>55</v>
      </c>
      <c r="B76" s="142"/>
      <c r="C76" s="155"/>
      <c r="D76" s="155" t="s">
        <v>16</v>
      </c>
      <c r="E76" s="145">
        <v>1706.0</v>
      </c>
      <c r="F76" s="145">
        <v>6.0</v>
      </c>
      <c r="G76" s="145">
        <v>21.0</v>
      </c>
      <c r="H76" s="233"/>
      <c r="I76" s="155" t="s">
        <v>3343</v>
      </c>
    </row>
    <row r="77">
      <c r="A77" s="7" t="s">
        <v>86</v>
      </c>
      <c r="B77" s="142"/>
      <c r="C77" s="155"/>
      <c r="D77" s="155" t="s">
        <v>16</v>
      </c>
      <c r="E77" s="145">
        <v>1707.0</v>
      </c>
      <c r="F77" s="141"/>
      <c r="G77" s="141"/>
      <c r="H77" s="233"/>
      <c r="I77" s="155" t="s">
        <v>3344</v>
      </c>
    </row>
    <row r="78">
      <c r="A78" s="155" t="s">
        <v>97</v>
      </c>
      <c r="B78" s="142"/>
      <c r="C78" s="142"/>
      <c r="D78" s="155" t="s">
        <v>16</v>
      </c>
      <c r="E78" s="145">
        <v>1708.0</v>
      </c>
      <c r="F78" s="141"/>
      <c r="G78" s="141"/>
      <c r="H78" s="233"/>
      <c r="I78" s="155" t="s">
        <v>3345</v>
      </c>
    </row>
    <row r="79">
      <c r="A79" s="7" t="s">
        <v>22</v>
      </c>
      <c r="B79" s="142"/>
      <c r="C79" s="142"/>
      <c r="D79" s="142" t="s">
        <v>16</v>
      </c>
      <c r="E79" s="145">
        <v>1708.0</v>
      </c>
      <c r="F79" s="141">
        <v>5.0</v>
      </c>
      <c r="G79" s="141">
        <v>1.0</v>
      </c>
      <c r="H79" s="233"/>
      <c r="I79" s="139" t="s">
        <v>3346</v>
      </c>
    </row>
    <row r="80">
      <c r="A80" s="7" t="s">
        <v>31</v>
      </c>
      <c r="B80" s="7" t="s">
        <v>90</v>
      </c>
      <c r="C80" s="7"/>
      <c r="D80" s="7" t="s">
        <v>16</v>
      </c>
      <c r="E80" s="7">
        <v>1708.0</v>
      </c>
      <c r="F80" s="7">
        <v>11.0</v>
      </c>
      <c r="G80" s="7">
        <v>11.0</v>
      </c>
      <c r="I80" s="7" t="s">
        <v>3347</v>
      </c>
    </row>
    <row r="81">
      <c r="A81" s="7" t="s">
        <v>74</v>
      </c>
      <c r="B81" s="7"/>
      <c r="C81" s="7"/>
      <c r="D81" s="7" t="s">
        <v>16</v>
      </c>
      <c r="E81" s="7">
        <v>1709.0</v>
      </c>
      <c r="F81" s="7"/>
      <c r="G81" s="7"/>
      <c r="I81" s="7" t="s">
        <v>3348</v>
      </c>
    </row>
    <row r="82">
      <c r="A82" s="7" t="s">
        <v>81</v>
      </c>
      <c r="B82" s="7"/>
      <c r="C82" s="7"/>
      <c r="D82" s="7" t="s">
        <v>16</v>
      </c>
      <c r="E82" s="7">
        <v>1709.0</v>
      </c>
      <c r="F82" s="7"/>
      <c r="G82" s="7"/>
      <c r="I82" s="7" t="s">
        <v>3349</v>
      </c>
    </row>
    <row r="83">
      <c r="A83" s="7" t="s">
        <v>81</v>
      </c>
      <c r="B83" s="7"/>
      <c r="C83" s="7"/>
      <c r="D83" s="7" t="s">
        <v>16</v>
      </c>
      <c r="E83" s="7">
        <v>1710.0</v>
      </c>
      <c r="F83" s="7"/>
      <c r="G83" s="7"/>
      <c r="I83" s="7" t="s">
        <v>3350</v>
      </c>
    </row>
    <row r="84">
      <c r="A84" s="7" t="s">
        <v>31</v>
      </c>
      <c r="B84" s="7"/>
      <c r="C84" s="7"/>
      <c r="D84" s="7" t="s">
        <v>16</v>
      </c>
      <c r="E84" s="7">
        <v>1710.0</v>
      </c>
      <c r="F84" s="7">
        <v>5.0</v>
      </c>
      <c r="G84" s="7">
        <v>15.0</v>
      </c>
      <c r="I84" s="7" t="s">
        <v>3351</v>
      </c>
    </row>
    <row r="85">
      <c r="A85" s="7" t="s">
        <v>90</v>
      </c>
      <c r="B85" s="7"/>
      <c r="C85" s="7"/>
      <c r="D85" s="7" t="s">
        <v>16</v>
      </c>
      <c r="E85" s="7">
        <v>1710.0</v>
      </c>
      <c r="F85" s="7">
        <v>5.0</v>
      </c>
      <c r="G85" s="7">
        <v>17.0</v>
      </c>
      <c r="I85" s="7" t="s">
        <v>3352</v>
      </c>
    </row>
    <row r="86">
      <c r="A86" s="7" t="s">
        <v>31</v>
      </c>
      <c r="B86" s="7"/>
      <c r="C86" s="7"/>
      <c r="D86" s="7" t="s">
        <v>16</v>
      </c>
      <c r="E86" s="7">
        <v>1710.0</v>
      </c>
      <c r="F86" s="7">
        <v>8.0</v>
      </c>
      <c r="G86" s="7">
        <v>15.0</v>
      </c>
      <c r="I86" s="7" t="s">
        <v>3353</v>
      </c>
    </row>
    <row r="87">
      <c r="A87" s="7"/>
      <c r="B87" s="7"/>
      <c r="C87" s="7"/>
      <c r="D87" s="7" t="s">
        <v>16</v>
      </c>
      <c r="E87" s="7">
        <v>1710.0</v>
      </c>
      <c r="F87" s="7">
        <v>9.0</v>
      </c>
      <c r="G87" s="7">
        <v>2.0</v>
      </c>
      <c r="I87" s="7" t="s">
        <v>3354</v>
      </c>
    </row>
    <row r="88">
      <c r="A88" s="7" t="s">
        <v>48</v>
      </c>
      <c r="B88" s="7" t="s">
        <v>102</v>
      </c>
      <c r="C88" s="7"/>
      <c r="D88" s="7" t="s">
        <v>16</v>
      </c>
      <c r="E88" s="7">
        <v>1711.0</v>
      </c>
      <c r="F88" s="7">
        <v>6.0</v>
      </c>
      <c r="G88" s="7">
        <v>24.0</v>
      </c>
      <c r="I88" s="7" t="s">
        <v>3355</v>
      </c>
    </row>
    <row r="89">
      <c r="A89" s="7" t="s">
        <v>41</v>
      </c>
      <c r="B89" s="7"/>
      <c r="C89" s="7"/>
      <c r="D89" s="7" t="s">
        <v>16</v>
      </c>
      <c r="E89" s="7">
        <v>1711.0</v>
      </c>
      <c r="F89" s="7">
        <v>6.0</v>
      </c>
      <c r="G89" s="7">
        <v>29.0</v>
      </c>
      <c r="H89" s="10"/>
      <c r="I89" s="155" t="s">
        <v>3356</v>
      </c>
    </row>
    <row r="90">
      <c r="A90" s="1"/>
      <c r="B90" s="1"/>
      <c r="C90" s="1"/>
      <c r="D90" s="1"/>
      <c r="E90" s="1">
        <v>1711.0</v>
      </c>
      <c r="F90" s="1">
        <v>11.0</v>
      </c>
      <c r="G90" s="1">
        <v>11.0</v>
      </c>
      <c r="H90" s="24"/>
      <c r="I90" s="1" t="s">
        <v>550</v>
      </c>
      <c r="J90" s="5"/>
      <c r="K90" s="5"/>
      <c r="L90" s="5"/>
      <c r="M90" s="5"/>
      <c r="N90" s="5"/>
      <c r="O90" s="5"/>
      <c r="P90" s="5"/>
      <c r="Q90" s="5"/>
      <c r="R90" s="5"/>
      <c r="S90" s="5"/>
      <c r="T90" s="5"/>
      <c r="U90" s="5"/>
      <c r="V90" s="5"/>
      <c r="W90" s="5"/>
      <c r="X90" s="5"/>
      <c r="Y90" s="5"/>
      <c r="Z90" s="5"/>
      <c r="AA90" s="5"/>
      <c r="AB90" s="5"/>
      <c r="AC90" s="5"/>
    </row>
    <row r="91">
      <c r="A91" s="7" t="s">
        <v>13</v>
      </c>
      <c r="B91" s="7"/>
      <c r="C91" s="7"/>
      <c r="D91" s="7" t="s">
        <v>16</v>
      </c>
      <c r="E91" s="7">
        <v>1711.0</v>
      </c>
      <c r="F91" s="7">
        <v>11.0</v>
      </c>
      <c r="G91" s="7">
        <v>11.0</v>
      </c>
      <c r="H91" s="10">
        <v>0.3333333333333333</v>
      </c>
      <c r="I91" s="7" t="s">
        <v>3357</v>
      </c>
    </row>
    <row r="92">
      <c r="A92" s="7" t="s">
        <v>20</v>
      </c>
      <c r="B92" s="7"/>
      <c r="C92" s="7"/>
      <c r="D92" s="7" t="s">
        <v>16</v>
      </c>
      <c r="E92" s="7">
        <v>1711.0</v>
      </c>
      <c r="F92" s="7">
        <v>11.0</v>
      </c>
      <c r="G92" s="7">
        <v>11.0</v>
      </c>
      <c r="H92" s="10">
        <v>0.4583333333333333</v>
      </c>
      <c r="I92" s="7" t="s">
        <v>3358</v>
      </c>
    </row>
    <row r="93">
      <c r="A93" s="7" t="s">
        <v>20</v>
      </c>
      <c r="B93" s="7"/>
      <c r="C93" s="7"/>
      <c r="D93" s="7" t="s">
        <v>16</v>
      </c>
      <c r="E93" s="7">
        <v>1711.0</v>
      </c>
      <c r="F93" s="7">
        <v>11.0</v>
      </c>
      <c r="G93" s="7">
        <v>11.0</v>
      </c>
      <c r="H93" s="10">
        <v>0.4861111111111111</v>
      </c>
      <c r="I93" s="7" t="s">
        <v>3359</v>
      </c>
    </row>
    <row r="94">
      <c r="A94" s="7" t="s">
        <v>20</v>
      </c>
      <c r="B94" s="7"/>
      <c r="C94" s="7"/>
      <c r="D94" s="7" t="s">
        <v>16</v>
      </c>
      <c r="E94" s="7">
        <v>1711.0</v>
      </c>
      <c r="F94" s="7">
        <v>11.0</v>
      </c>
      <c r="G94" s="7">
        <v>11.0</v>
      </c>
      <c r="H94" s="10">
        <v>0.4895833333333333</v>
      </c>
      <c r="I94" s="7" t="s">
        <v>3360</v>
      </c>
    </row>
    <row r="95">
      <c r="A95" s="7" t="s">
        <v>28</v>
      </c>
      <c r="B95" s="7" t="s">
        <v>37</v>
      </c>
      <c r="C95" s="7"/>
      <c r="D95" s="7" t="s">
        <v>16</v>
      </c>
      <c r="E95" s="7">
        <v>1711.0</v>
      </c>
      <c r="F95" s="7">
        <v>11.0</v>
      </c>
      <c r="G95" s="7">
        <v>11.0</v>
      </c>
      <c r="H95" s="10">
        <v>0.4930555555555556</v>
      </c>
      <c r="I95" s="7" t="s">
        <v>3361</v>
      </c>
    </row>
    <row r="96">
      <c r="A96" s="7" t="s">
        <v>39</v>
      </c>
      <c r="B96" s="7"/>
      <c r="C96" s="7"/>
      <c r="D96" s="7" t="s">
        <v>16</v>
      </c>
      <c r="E96" s="7">
        <v>1711.0</v>
      </c>
      <c r="F96" s="7">
        <v>11.0</v>
      </c>
      <c r="G96" s="7">
        <v>11.0</v>
      </c>
      <c r="H96" s="10">
        <v>0.4965277777777778</v>
      </c>
      <c r="I96" s="7" t="s">
        <v>3362</v>
      </c>
    </row>
    <row r="97">
      <c r="A97" s="7" t="s">
        <v>46</v>
      </c>
      <c r="B97" s="7"/>
      <c r="C97" s="7"/>
      <c r="D97" s="7" t="s">
        <v>16</v>
      </c>
      <c r="E97" s="7">
        <v>1711.0</v>
      </c>
      <c r="F97" s="7">
        <v>11.0</v>
      </c>
      <c r="G97" s="7">
        <v>11.0</v>
      </c>
      <c r="H97" s="10">
        <v>0.5</v>
      </c>
      <c r="I97" s="7" t="s">
        <v>3363</v>
      </c>
    </row>
    <row r="98">
      <c r="A98" s="7" t="s">
        <v>60</v>
      </c>
      <c r="C98" s="7"/>
      <c r="D98" s="7" t="s">
        <v>16</v>
      </c>
      <c r="E98" s="7">
        <v>1711.0</v>
      </c>
      <c r="F98" s="7">
        <v>11.0</v>
      </c>
      <c r="G98" s="7">
        <v>11.0</v>
      </c>
      <c r="H98" s="10">
        <v>0.5006944444444444</v>
      </c>
      <c r="I98" s="7" t="s">
        <v>3364</v>
      </c>
    </row>
    <row r="99">
      <c r="A99" s="7" t="s">
        <v>62</v>
      </c>
      <c r="C99" s="7"/>
      <c r="D99" s="7" t="s">
        <v>16</v>
      </c>
      <c r="E99" s="7">
        <v>1711.0</v>
      </c>
      <c r="F99" s="7">
        <v>11.0</v>
      </c>
      <c r="G99" s="7">
        <v>11.0</v>
      </c>
      <c r="H99" s="10">
        <v>0.5013888888888889</v>
      </c>
      <c r="I99" s="7" t="s">
        <v>3365</v>
      </c>
    </row>
    <row r="100">
      <c r="A100" s="7" t="s">
        <v>72</v>
      </c>
      <c r="C100" s="7"/>
      <c r="D100" s="7" t="s">
        <v>16</v>
      </c>
      <c r="E100" s="7">
        <v>1711.0</v>
      </c>
      <c r="F100" s="7">
        <v>11.0</v>
      </c>
      <c r="G100" s="7">
        <v>11.0</v>
      </c>
      <c r="H100" s="10">
        <v>0.5180555555555556</v>
      </c>
      <c r="I100" s="7" t="s">
        <v>3366</v>
      </c>
    </row>
    <row r="101">
      <c r="A101" s="7" t="s">
        <v>83</v>
      </c>
      <c r="C101" s="7"/>
      <c r="D101" s="7" t="s">
        <v>16</v>
      </c>
      <c r="E101" s="7">
        <v>1711.0</v>
      </c>
      <c r="F101" s="7">
        <v>11.0</v>
      </c>
      <c r="G101" s="7">
        <v>11.0</v>
      </c>
      <c r="H101" s="10">
        <v>0.51875</v>
      </c>
      <c r="I101" s="7" t="s">
        <v>3367</v>
      </c>
    </row>
    <row r="102">
      <c r="A102" s="155" t="s">
        <v>97</v>
      </c>
      <c r="C102" s="7"/>
      <c r="D102" s="7" t="s">
        <v>16</v>
      </c>
      <c r="E102" s="7">
        <v>1711.0</v>
      </c>
      <c r="F102" s="7">
        <v>11.0</v>
      </c>
      <c r="G102" s="7">
        <v>11.0</v>
      </c>
      <c r="H102" s="10">
        <v>0.5194444444444445</v>
      </c>
      <c r="I102" s="7" t="s">
        <v>3368</v>
      </c>
    </row>
    <row r="103">
      <c r="A103" s="7" t="s">
        <v>100</v>
      </c>
      <c r="B103" s="7" t="s">
        <v>102</v>
      </c>
      <c r="C103" s="7"/>
      <c r="D103" s="7" t="s">
        <v>16</v>
      </c>
      <c r="E103" s="7">
        <v>1711.0</v>
      </c>
      <c r="F103" s="7">
        <v>11.0</v>
      </c>
      <c r="G103" s="7">
        <v>11.0</v>
      </c>
      <c r="H103" s="10">
        <v>0.5208333333333334</v>
      </c>
      <c r="I103" s="7" t="s">
        <v>3369</v>
      </c>
    </row>
    <row r="104">
      <c r="C104" s="7"/>
      <c r="D104" s="7"/>
      <c r="E104" s="7">
        <v>1711.0</v>
      </c>
      <c r="F104" s="7">
        <v>11.0</v>
      </c>
      <c r="G104" s="7">
        <v>11.0</v>
      </c>
      <c r="H104" s="10">
        <v>0.5506944444444445</v>
      </c>
      <c r="I104" s="7" t="s">
        <v>3370</v>
      </c>
    </row>
    <row r="105">
      <c r="C105" s="7"/>
      <c r="D105" s="7"/>
      <c r="E105" s="7">
        <v>1711.0</v>
      </c>
      <c r="F105" s="7">
        <v>11.0</v>
      </c>
      <c r="G105" s="7">
        <v>11.0</v>
      </c>
      <c r="H105" s="10">
        <v>0.6458333333333334</v>
      </c>
      <c r="I105" s="7" t="s">
        <v>3371</v>
      </c>
    </row>
    <row r="106">
      <c r="C106" s="7"/>
      <c r="D106" s="7"/>
      <c r="E106" s="7">
        <v>1711.0</v>
      </c>
      <c r="F106" s="7">
        <v>11.0</v>
      </c>
      <c r="G106" s="7">
        <v>11.0</v>
      </c>
      <c r="H106" s="10">
        <v>0.6875</v>
      </c>
      <c r="I106" s="7" t="s">
        <v>3372</v>
      </c>
    </row>
    <row r="107">
      <c r="C107" s="7"/>
      <c r="D107" s="7"/>
      <c r="E107" s="7">
        <v>1711.0</v>
      </c>
      <c r="F107" s="7">
        <v>11.0</v>
      </c>
      <c r="G107" s="7">
        <v>11.0</v>
      </c>
      <c r="H107" s="10">
        <v>0.75</v>
      </c>
      <c r="I107" s="7" t="s">
        <v>3373</v>
      </c>
    </row>
    <row r="108">
      <c r="C108" s="7"/>
      <c r="D108" s="7"/>
      <c r="E108" s="7">
        <v>1711.0</v>
      </c>
      <c r="F108" s="7">
        <v>11.0</v>
      </c>
      <c r="G108" s="7">
        <v>11.0</v>
      </c>
      <c r="H108" s="10">
        <v>0.9993055555555556</v>
      </c>
      <c r="I108" s="7" t="s">
        <v>3374</v>
      </c>
    </row>
    <row r="109">
      <c r="C109" s="7"/>
      <c r="D109" s="7"/>
      <c r="E109" s="7">
        <v>1711.0</v>
      </c>
      <c r="F109" s="7">
        <v>11.0</v>
      </c>
      <c r="G109" s="7">
        <v>12.0</v>
      </c>
      <c r="H109" s="10">
        <v>0.5833333333333334</v>
      </c>
      <c r="I109" s="7" t="s">
        <v>3375</v>
      </c>
    </row>
    <row r="110">
      <c r="C110" s="7"/>
      <c r="D110" s="7"/>
      <c r="E110" s="7">
        <v>1711.0</v>
      </c>
      <c r="F110" s="7">
        <v>11.0</v>
      </c>
      <c r="G110" s="7">
        <v>14.0</v>
      </c>
      <c r="H110" s="10">
        <v>0.8333333333333334</v>
      </c>
      <c r="I110" s="7" t="s">
        <v>3376</v>
      </c>
    </row>
    <row r="111">
      <c r="A111" s="1"/>
      <c r="B111" s="1"/>
      <c r="C111" s="1"/>
      <c r="D111" s="1"/>
      <c r="E111" s="1">
        <v>1711.0</v>
      </c>
      <c r="F111" s="1">
        <v>11.0</v>
      </c>
      <c r="G111" s="1">
        <v>15.0</v>
      </c>
      <c r="H111" s="24"/>
      <c r="I111" s="1" t="s">
        <v>494</v>
      </c>
      <c r="J111" s="5"/>
      <c r="K111" s="5"/>
      <c r="L111" s="5"/>
      <c r="M111" s="5"/>
      <c r="N111" s="5"/>
      <c r="O111" s="5"/>
      <c r="P111" s="5"/>
      <c r="Q111" s="5"/>
      <c r="R111" s="5"/>
      <c r="S111" s="5"/>
      <c r="T111" s="5"/>
      <c r="U111" s="5"/>
      <c r="V111" s="5"/>
      <c r="W111" s="5"/>
      <c r="X111" s="5"/>
      <c r="Y111" s="5"/>
      <c r="Z111" s="5"/>
      <c r="AA111" s="5"/>
      <c r="AB111" s="5"/>
      <c r="AC111" s="5"/>
    </row>
    <row r="112">
      <c r="C112" s="7"/>
      <c r="D112" s="7"/>
      <c r="E112" s="7">
        <v>1711.0</v>
      </c>
      <c r="F112" s="7">
        <v>11.0</v>
      </c>
      <c r="G112" s="7">
        <v>15.0</v>
      </c>
      <c r="H112" s="10">
        <v>0.7083333333333334</v>
      </c>
      <c r="I112" s="7" t="s">
        <v>3377</v>
      </c>
    </row>
    <row r="113">
      <c r="A113" s="1"/>
      <c r="B113" s="1"/>
      <c r="C113" s="1"/>
      <c r="D113" s="1"/>
      <c r="E113" s="1">
        <v>1711.0</v>
      </c>
      <c r="F113" s="1">
        <v>11.0</v>
      </c>
      <c r="G113" s="1">
        <v>22.0</v>
      </c>
      <c r="H113" s="24"/>
      <c r="I113" s="1" t="s">
        <v>494</v>
      </c>
      <c r="J113" s="5"/>
      <c r="K113" s="5"/>
      <c r="L113" s="5"/>
      <c r="M113" s="5"/>
      <c r="N113" s="5"/>
      <c r="O113" s="5"/>
      <c r="P113" s="5"/>
      <c r="Q113" s="5"/>
      <c r="R113" s="5"/>
      <c r="S113" s="5"/>
      <c r="T113" s="5"/>
      <c r="U113" s="5"/>
      <c r="V113" s="5"/>
      <c r="W113" s="5"/>
      <c r="X113" s="5"/>
      <c r="Y113" s="5"/>
      <c r="Z113" s="5"/>
      <c r="AA113" s="5"/>
      <c r="AB113" s="5"/>
      <c r="AC113" s="5"/>
    </row>
    <row r="114">
      <c r="C114" s="7"/>
      <c r="D114" s="7"/>
      <c r="E114" s="7">
        <v>1711.0</v>
      </c>
      <c r="F114" s="7">
        <v>11.0</v>
      </c>
      <c r="G114" s="7">
        <v>22.0</v>
      </c>
      <c r="H114" s="10">
        <v>0.7083333333333334</v>
      </c>
      <c r="I114" s="7" t="s">
        <v>3378</v>
      </c>
    </row>
    <row r="115">
      <c r="C115" s="7"/>
      <c r="D115" s="7"/>
      <c r="E115" s="1">
        <v>1711.0</v>
      </c>
      <c r="F115" s="1">
        <v>11.0</v>
      </c>
      <c r="G115" s="1">
        <v>29.0</v>
      </c>
      <c r="H115" s="24"/>
      <c r="I115" s="1" t="s">
        <v>3379</v>
      </c>
    </row>
    <row r="116">
      <c r="C116" s="7"/>
      <c r="D116" s="7" t="s">
        <v>16</v>
      </c>
      <c r="E116" s="7">
        <v>1711.0</v>
      </c>
      <c r="F116" s="7">
        <v>11.0</v>
      </c>
      <c r="G116" s="7">
        <v>29.0</v>
      </c>
      <c r="H116" s="10">
        <v>0.625</v>
      </c>
      <c r="I116" s="7" t="s">
        <v>3380</v>
      </c>
    </row>
    <row r="117">
      <c r="C117" s="7"/>
      <c r="D117" s="7"/>
      <c r="E117" s="7">
        <v>1711.0</v>
      </c>
      <c r="F117" s="7">
        <v>12.0</v>
      </c>
      <c r="G117" s="7">
        <v>5.0</v>
      </c>
      <c r="I117" s="7" t="s">
        <v>3381</v>
      </c>
    </row>
    <row r="118">
      <c r="C118" s="7"/>
      <c r="D118" s="7"/>
      <c r="E118" s="7">
        <v>1711.0</v>
      </c>
      <c r="F118" s="7">
        <v>12.0</v>
      </c>
      <c r="G118" s="7">
        <v>11.0</v>
      </c>
      <c r="H118" s="10">
        <v>0.20833333333333334</v>
      </c>
      <c r="I118" s="7" t="s">
        <v>3382</v>
      </c>
    </row>
    <row r="119">
      <c r="C119" s="7"/>
      <c r="D119" s="7"/>
      <c r="E119" s="7">
        <v>1711.0</v>
      </c>
      <c r="F119" s="7">
        <v>12.0</v>
      </c>
      <c r="G119" s="7">
        <v>11.0</v>
      </c>
      <c r="H119" s="10">
        <v>0.7916666666666666</v>
      </c>
      <c r="I119" s="7" t="s">
        <v>3383</v>
      </c>
    </row>
    <row r="120">
      <c r="C120" s="7"/>
      <c r="D120" s="7" t="s">
        <v>16</v>
      </c>
      <c r="E120" s="7">
        <f> E65 + 33</f>
        <v>1725</v>
      </c>
      <c r="F120" s="7">
        <f t="shared" ref="F120:G120" si="1"> F65</f>
        <v>11</v>
      </c>
      <c r="G120" s="7">
        <f t="shared" si="1"/>
        <v>11</v>
      </c>
      <c r="I120" s="7" t="s">
        <v>3384</v>
      </c>
    </row>
    <row r="121">
      <c r="C121" s="7"/>
      <c r="D121" s="7"/>
      <c r="E121" s="1">
        <v>2011.0</v>
      </c>
      <c r="F121" s="1">
        <v>11.0</v>
      </c>
      <c r="G121" s="1">
        <v>11.0</v>
      </c>
      <c r="H121" s="5"/>
      <c r="I121" s="1" t="s">
        <v>457</v>
      </c>
    </row>
    <row r="122">
      <c r="C122" s="7"/>
      <c r="D122" s="7"/>
      <c r="E122" s="7">
        <v>2011.0</v>
      </c>
      <c r="F122" s="7">
        <v>11.0</v>
      </c>
      <c r="G122" s="7">
        <v>11.0</v>
      </c>
      <c r="H122" s="10">
        <v>0.25</v>
      </c>
      <c r="I122" s="7" t="s">
        <v>3385</v>
      </c>
    </row>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4" t="s">
        <v>3238</v>
      </c>
      <c r="D1" s="175"/>
      <c r="E1" s="175"/>
      <c r="F1" s="175"/>
      <c r="G1" s="234">
        <v>1711.0</v>
      </c>
    </row>
    <row r="2">
      <c r="A2" s="235" t="s">
        <v>514</v>
      </c>
      <c r="B2" s="235" t="s">
        <v>531</v>
      </c>
      <c r="C2" s="235" t="s">
        <v>550</v>
      </c>
      <c r="D2" s="235" t="s">
        <v>437</v>
      </c>
      <c r="E2" s="235" t="s">
        <v>457</v>
      </c>
      <c r="F2" s="235" t="s">
        <v>476</v>
      </c>
      <c r="G2" s="236" t="s">
        <v>494</v>
      </c>
      <c r="H2" s="1">
        <v>1.0</v>
      </c>
      <c r="I2" s="1" t="s">
        <v>16</v>
      </c>
    </row>
    <row r="3">
      <c r="A3" s="227">
        <v>26.0</v>
      </c>
      <c r="B3" s="227">
        <v>27.0</v>
      </c>
      <c r="C3" s="227">
        <v>28.0</v>
      </c>
      <c r="D3" s="227">
        <v>29.0</v>
      </c>
      <c r="E3" s="227">
        <v>30.0</v>
      </c>
      <c r="F3" s="227">
        <v>31.0</v>
      </c>
      <c r="G3" s="237">
        <v>1.0</v>
      </c>
      <c r="H3" s="1">
        <v>2.0</v>
      </c>
      <c r="I3" s="238" t="s">
        <v>155</v>
      </c>
    </row>
    <row r="4">
      <c r="A4" s="180"/>
      <c r="B4" s="180"/>
      <c r="C4" s="180"/>
      <c r="D4" s="180"/>
      <c r="E4" s="180"/>
      <c r="F4" s="180"/>
      <c r="G4" s="239"/>
      <c r="H4" s="1">
        <v>3.0</v>
      </c>
      <c r="I4" s="240" t="s">
        <v>75</v>
      </c>
    </row>
    <row r="5">
      <c r="A5" s="178">
        <v>2.0</v>
      </c>
      <c r="B5" s="178">
        <v>3.0</v>
      </c>
      <c r="C5" s="178">
        <v>4.0</v>
      </c>
      <c r="D5" s="178">
        <v>5.0</v>
      </c>
      <c r="E5" s="178">
        <v>6.0</v>
      </c>
      <c r="F5" s="178">
        <v>7.0</v>
      </c>
      <c r="G5" s="237">
        <v>8.0</v>
      </c>
      <c r="H5" s="1">
        <v>4.0</v>
      </c>
      <c r="I5" s="241" t="s">
        <v>185</v>
      </c>
    </row>
    <row r="6">
      <c r="A6" s="180"/>
      <c r="B6" s="180"/>
      <c r="C6" s="180"/>
      <c r="D6" s="180"/>
      <c r="E6" s="180"/>
      <c r="F6" s="180"/>
      <c r="G6" s="239"/>
      <c r="H6" s="1">
        <v>5.0</v>
      </c>
      <c r="I6" s="242" t="s">
        <v>195</v>
      </c>
    </row>
    <row r="7">
      <c r="A7" s="178">
        <v>9.0</v>
      </c>
      <c r="B7" s="178">
        <v>10.0</v>
      </c>
      <c r="C7" s="243">
        <v>11.0</v>
      </c>
      <c r="D7" s="244">
        <v>12.0</v>
      </c>
      <c r="E7" s="244">
        <v>13.0</v>
      </c>
      <c r="F7" s="245">
        <v>14.0</v>
      </c>
      <c r="G7" s="245">
        <v>15.0</v>
      </c>
      <c r="H7" s="1">
        <v>6.0</v>
      </c>
      <c r="I7" s="246" t="s">
        <v>215</v>
      </c>
    </row>
    <row r="8">
      <c r="A8" s="180"/>
      <c r="B8" s="180"/>
      <c r="C8" s="204" t="s">
        <v>3386</v>
      </c>
      <c r="D8" s="204" t="s">
        <v>485</v>
      </c>
      <c r="E8" s="180"/>
      <c r="F8" s="247" t="s">
        <v>3244</v>
      </c>
      <c r="G8" s="248" t="s">
        <v>3387</v>
      </c>
      <c r="H8" s="1">
        <v>7.0</v>
      </c>
      <c r="I8" s="249" t="s">
        <v>219</v>
      </c>
    </row>
    <row r="9">
      <c r="A9" s="245">
        <v>16.0</v>
      </c>
      <c r="B9" s="245">
        <v>17.0</v>
      </c>
      <c r="C9" s="245">
        <v>18.0</v>
      </c>
      <c r="D9" s="245">
        <v>19.0</v>
      </c>
      <c r="E9" s="245">
        <v>20.0</v>
      </c>
      <c r="F9" s="245">
        <v>21.0</v>
      </c>
      <c r="G9" s="245">
        <v>22.0</v>
      </c>
      <c r="H9" s="1">
        <v>8.0</v>
      </c>
      <c r="I9" s="250" t="s">
        <v>3388</v>
      </c>
    </row>
    <row r="10">
      <c r="A10" s="204" t="s">
        <v>3389</v>
      </c>
      <c r="B10" s="180"/>
      <c r="C10" s="180"/>
      <c r="D10" s="180"/>
      <c r="E10" s="180"/>
      <c r="F10" s="180"/>
      <c r="G10" s="248" t="s">
        <v>3390</v>
      </c>
      <c r="H10" s="1">
        <v>9.0</v>
      </c>
      <c r="I10" s="251" t="s">
        <v>237</v>
      </c>
    </row>
    <row r="11">
      <c r="A11" s="245">
        <v>23.0</v>
      </c>
      <c r="B11" s="245">
        <v>24.0</v>
      </c>
      <c r="C11" s="245">
        <v>25.0</v>
      </c>
      <c r="D11" s="245">
        <v>26.0</v>
      </c>
      <c r="E11" s="245">
        <v>27.0</v>
      </c>
      <c r="F11" s="245">
        <v>28.0</v>
      </c>
      <c r="G11" s="245">
        <v>29.0</v>
      </c>
    </row>
    <row r="12">
      <c r="A12" s="204" t="s">
        <v>3391</v>
      </c>
      <c r="B12" s="180"/>
      <c r="C12" s="180"/>
      <c r="D12" s="180"/>
      <c r="E12" s="180"/>
      <c r="F12" s="180"/>
      <c r="G12" s="252" t="s">
        <v>3392</v>
      </c>
    </row>
    <row r="13">
      <c r="A13" s="245">
        <v>30.0</v>
      </c>
      <c r="B13" s="175"/>
      <c r="C13" s="175"/>
      <c r="D13" s="175"/>
      <c r="E13" s="175"/>
      <c r="F13" s="175"/>
      <c r="G13" s="253"/>
    </row>
    <row r="14">
      <c r="A14" s="180"/>
      <c r="B14" s="175"/>
      <c r="C14" s="175"/>
      <c r="D14" s="175"/>
      <c r="E14" s="175"/>
      <c r="F14" s="175"/>
      <c r="G14" s="253"/>
    </row>
    <row r="15">
      <c r="A15" s="174" t="s">
        <v>3241</v>
      </c>
      <c r="D15" s="175"/>
      <c r="E15" s="175"/>
      <c r="F15" s="175"/>
      <c r="G15" s="234">
        <v>1711.0</v>
      </c>
    </row>
    <row r="16">
      <c r="A16" s="254"/>
      <c r="B16" s="245">
        <v>1.0</v>
      </c>
      <c r="C16" s="245">
        <v>2.0</v>
      </c>
      <c r="D16" s="245">
        <v>3.0</v>
      </c>
      <c r="E16" s="245">
        <v>4.0</v>
      </c>
      <c r="F16" s="245">
        <v>5.0</v>
      </c>
      <c r="G16" s="245">
        <v>6.0</v>
      </c>
    </row>
    <row r="17">
      <c r="A17" s="175"/>
      <c r="B17" s="204"/>
      <c r="C17" s="180"/>
      <c r="D17" s="180"/>
      <c r="E17" s="180"/>
      <c r="F17" s="204" t="s">
        <v>3393</v>
      </c>
      <c r="G17" s="239"/>
    </row>
    <row r="18">
      <c r="A18" s="245">
        <v>7.0</v>
      </c>
      <c r="B18" s="245">
        <v>8.0</v>
      </c>
      <c r="C18" s="245">
        <v>9.0</v>
      </c>
      <c r="D18" s="245">
        <v>10.0</v>
      </c>
      <c r="E18" s="245">
        <v>11.0</v>
      </c>
      <c r="F18" s="255">
        <v>12.0</v>
      </c>
      <c r="G18" s="255">
        <v>13.0</v>
      </c>
    </row>
    <row r="19">
      <c r="A19" s="180"/>
      <c r="B19" s="180"/>
      <c r="C19" s="180"/>
      <c r="D19" s="180"/>
      <c r="E19" s="193" t="s">
        <v>3394</v>
      </c>
      <c r="F19" s="256" t="s">
        <v>195</v>
      </c>
      <c r="G19" s="248"/>
    </row>
    <row r="20">
      <c r="A20" s="255">
        <v>14.0</v>
      </c>
      <c r="B20" s="257">
        <v>15.0</v>
      </c>
      <c r="C20" s="257">
        <v>16.0</v>
      </c>
      <c r="D20" s="257">
        <v>17.0</v>
      </c>
      <c r="E20" s="257">
        <v>18.0</v>
      </c>
      <c r="F20" s="257">
        <v>19.0</v>
      </c>
      <c r="G20" s="257">
        <v>20.0</v>
      </c>
    </row>
    <row r="21">
      <c r="A21" s="193" t="s">
        <v>3395</v>
      </c>
      <c r="B21" s="180"/>
      <c r="C21" s="180"/>
      <c r="D21" s="180"/>
      <c r="E21" s="180"/>
      <c r="F21" s="175"/>
      <c r="G21" s="258"/>
    </row>
    <row r="22">
      <c r="A22" s="257">
        <v>21.0</v>
      </c>
      <c r="B22" s="257">
        <v>22.0</v>
      </c>
      <c r="C22" s="257">
        <v>23.0</v>
      </c>
      <c r="D22" s="257">
        <v>24.0</v>
      </c>
      <c r="E22" s="257">
        <v>25.0</v>
      </c>
      <c r="F22" s="257">
        <v>26.0</v>
      </c>
      <c r="G22" s="257">
        <v>27.0</v>
      </c>
    </row>
    <row r="23">
      <c r="A23" s="180"/>
      <c r="B23" s="180"/>
      <c r="C23" s="180"/>
      <c r="D23" s="204" t="s">
        <v>3396</v>
      </c>
      <c r="E23" s="204" t="s">
        <v>3397</v>
      </c>
      <c r="F23" s="180"/>
      <c r="G23" s="259"/>
    </row>
    <row r="24">
      <c r="A24" s="257">
        <v>28.0</v>
      </c>
      <c r="B24" s="257">
        <v>29.0</v>
      </c>
      <c r="C24" s="257">
        <v>30.0</v>
      </c>
      <c r="D24" s="257">
        <v>31.0</v>
      </c>
      <c r="E24" s="175"/>
      <c r="F24" s="175"/>
      <c r="G24" s="258"/>
    </row>
    <row r="25">
      <c r="A25" s="180"/>
      <c r="B25" s="180"/>
      <c r="C25" s="180"/>
      <c r="D25" s="180"/>
      <c r="E25" s="175"/>
      <c r="F25" s="175"/>
      <c r="G25" s="253"/>
    </row>
    <row r="26">
      <c r="A26" s="174" t="s">
        <v>3242</v>
      </c>
      <c r="D26" s="175"/>
      <c r="E26" s="175"/>
      <c r="F26" s="175"/>
      <c r="G26" s="234">
        <v>1712.0</v>
      </c>
    </row>
    <row r="27">
      <c r="A27" s="175"/>
      <c r="B27" s="175"/>
      <c r="C27" s="175"/>
      <c r="D27" s="175"/>
      <c r="E27" s="257">
        <v>1.0</v>
      </c>
      <c r="F27" s="257">
        <v>2.0</v>
      </c>
      <c r="G27" s="257">
        <v>3.0</v>
      </c>
    </row>
    <row r="28">
      <c r="A28" s="175"/>
      <c r="B28" s="175"/>
      <c r="C28" s="175"/>
      <c r="D28" s="175"/>
      <c r="E28" s="260" t="s">
        <v>215</v>
      </c>
      <c r="F28" s="180"/>
      <c r="G28" s="239"/>
    </row>
    <row r="29">
      <c r="A29" s="178">
        <v>4.0</v>
      </c>
      <c r="B29" s="178">
        <v>5.0</v>
      </c>
      <c r="C29" s="178">
        <v>6.0</v>
      </c>
      <c r="D29" s="178">
        <v>7.0</v>
      </c>
      <c r="E29" s="178">
        <v>8.0</v>
      </c>
      <c r="F29" s="178">
        <v>9.0</v>
      </c>
      <c r="G29" s="237">
        <v>10.0</v>
      </c>
    </row>
    <row r="30">
      <c r="A30" s="180"/>
      <c r="B30" s="180"/>
      <c r="C30" s="180"/>
      <c r="D30" s="180"/>
      <c r="E30" s="180"/>
      <c r="F30" s="180"/>
      <c r="G30" s="239"/>
    </row>
    <row r="31">
      <c r="A31" s="178">
        <v>11.0</v>
      </c>
      <c r="B31" s="178">
        <v>12.0</v>
      </c>
      <c r="C31" s="178">
        <v>13.0</v>
      </c>
      <c r="D31" s="178">
        <v>14.0</v>
      </c>
      <c r="E31" s="178">
        <v>15.0</v>
      </c>
      <c r="F31" s="178">
        <v>16.0</v>
      </c>
      <c r="G31" s="237">
        <v>17.0</v>
      </c>
    </row>
    <row r="32">
      <c r="A32" s="180"/>
      <c r="B32" s="180"/>
      <c r="C32" s="180"/>
      <c r="D32" s="180"/>
      <c r="E32" s="180"/>
      <c r="F32" s="175"/>
      <c r="G32" s="175"/>
    </row>
    <row r="33">
      <c r="A33" s="178">
        <v>18.0</v>
      </c>
      <c r="B33" s="178">
        <v>19.0</v>
      </c>
      <c r="C33" s="178">
        <v>20.0</v>
      </c>
      <c r="D33" s="178">
        <v>21.0</v>
      </c>
      <c r="E33" s="178">
        <v>22.0</v>
      </c>
      <c r="F33" s="178">
        <v>23.0</v>
      </c>
      <c r="G33" s="237">
        <v>24.0</v>
      </c>
    </row>
    <row r="34">
      <c r="A34" s="180"/>
      <c r="B34" s="180"/>
      <c r="C34" s="180"/>
      <c r="D34" s="180"/>
      <c r="E34" s="180"/>
      <c r="F34" s="180"/>
      <c r="G34" s="239"/>
    </row>
    <row r="35">
      <c r="A35" s="178">
        <v>25.0</v>
      </c>
      <c r="B35" s="178">
        <v>26.0</v>
      </c>
      <c r="C35" s="178">
        <v>27.0</v>
      </c>
      <c r="D35" s="178">
        <v>28.0</v>
      </c>
      <c r="E35" s="178">
        <v>29.0</v>
      </c>
      <c r="F35" s="178">
        <v>30.0</v>
      </c>
      <c r="G35" s="237">
        <v>31.0</v>
      </c>
    </row>
    <row r="36">
      <c r="A36" s="180"/>
      <c r="B36" s="180"/>
      <c r="C36" s="180"/>
      <c r="D36" s="180"/>
      <c r="E36" s="180"/>
      <c r="F36" s="180"/>
      <c r="G36" s="239"/>
    </row>
    <row r="37">
      <c r="A37" s="174" t="s">
        <v>3243</v>
      </c>
      <c r="D37" s="175"/>
      <c r="E37" s="175"/>
      <c r="F37" s="175"/>
      <c r="G37" s="234">
        <v>1712.0</v>
      </c>
    </row>
    <row r="38">
      <c r="A38" s="178">
        <v>1.0</v>
      </c>
      <c r="B38" s="178">
        <v>2.0</v>
      </c>
      <c r="C38" s="178">
        <v>3.0</v>
      </c>
      <c r="D38" s="178">
        <v>4.0</v>
      </c>
      <c r="E38" s="178">
        <v>5.0</v>
      </c>
      <c r="F38" s="178">
        <v>6.0</v>
      </c>
      <c r="G38" s="178">
        <v>7.0</v>
      </c>
    </row>
    <row r="39">
      <c r="A39" s="180"/>
      <c r="B39" s="180"/>
      <c r="C39" s="180"/>
      <c r="D39" s="180"/>
      <c r="E39" s="180"/>
      <c r="F39" s="180"/>
      <c r="G39" s="239"/>
    </row>
    <row r="40">
      <c r="A40" s="178">
        <v>8.0</v>
      </c>
      <c r="B40" s="178">
        <v>9.0</v>
      </c>
      <c r="C40" s="178">
        <v>10.0</v>
      </c>
      <c r="D40" s="178">
        <v>11.0</v>
      </c>
      <c r="E40" s="178">
        <v>12.0</v>
      </c>
      <c r="F40" s="178">
        <v>13.0</v>
      </c>
      <c r="G40" s="237">
        <v>14.0</v>
      </c>
    </row>
    <row r="41">
      <c r="A41" s="180"/>
      <c r="B41" s="180"/>
      <c r="C41" s="180"/>
      <c r="D41" s="180"/>
      <c r="E41" s="180"/>
      <c r="F41" s="175"/>
      <c r="G41" s="175"/>
    </row>
    <row r="42">
      <c r="A42" s="178">
        <v>15.0</v>
      </c>
      <c r="B42" s="178">
        <v>16.0</v>
      </c>
      <c r="C42" s="178">
        <v>17.0</v>
      </c>
      <c r="D42" s="178">
        <v>18.0</v>
      </c>
      <c r="E42" s="178">
        <v>19.0</v>
      </c>
      <c r="F42" s="178">
        <v>20.0</v>
      </c>
      <c r="G42" s="237">
        <v>21.0</v>
      </c>
    </row>
    <row r="43">
      <c r="A43" s="180"/>
      <c r="B43" s="180"/>
      <c r="C43" s="180"/>
      <c r="D43" s="180"/>
      <c r="E43" s="180"/>
      <c r="F43" s="180"/>
      <c r="G43" s="239"/>
    </row>
    <row r="44">
      <c r="A44" s="178">
        <v>22.0</v>
      </c>
      <c r="B44" s="178">
        <v>23.0</v>
      </c>
      <c r="C44" s="178">
        <v>24.0</v>
      </c>
      <c r="D44" s="178">
        <v>25.0</v>
      </c>
      <c r="E44" s="178">
        <v>26.0</v>
      </c>
      <c r="F44" s="178">
        <v>27.0</v>
      </c>
      <c r="G44" s="237">
        <v>28.0</v>
      </c>
    </row>
    <row r="45">
      <c r="A45" s="180"/>
      <c r="B45" s="180"/>
      <c r="C45" s="180"/>
      <c r="D45" s="180"/>
      <c r="E45" s="180"/>
      <c r="F45" s="180"/>
      <c r="G45" s="239"/>
    </row>
    <row r="46">
      <c r="A46" s="178">
        <v>29.0</v>
      </c>
      <c r="B46" s="175"/>
      <c r="C46" s="175"/>
      <c r="D46" s="175"/>
      <c r="E46" s="175"/>
      <c r="F46" s="175"/>
      <c r="G46" s="253"/>
    </row>
    <row r="47">
      <c r="A47" s="180"/>
      <c r="B47" s="175"/>
      <c r="C47" s="175"/>
      <c r="D47" s="175"/>
      <c r="E47" s="175"/>
      <c r="F47" s="175"/>
      <c r="G47" s="253"/>
    </row>
    <row r="48">
      <c r="A48" s="174" t="s">
        <v>3245</v>
      </c>
      <c r="D48" s="175"/>
      <c r="E48" s="175"/>
      <c r="F48" s="175"/>
      <c r="G48" s="234">
        <v>1712.0</v>
      </c>
    </row>
    <row r="49">
      <c r="A49" s="261"/>
      <c r="B49" s="178">
        <v>1.0</v>
      </c>
      <c r="C49" s="178">
        <v>2.0</v>
      </c>
      <c r="D49" s="178">
        <v>3.0</v>
      </c>
      <c r="E49" s="178">
        <v>4.0</v>
      </c>
      <c r="F49" s="178">
        <v>5.0</v>
      </c>
      <c r="G49" s="178">
        <v>6.0</v>
      </c>
    </row>
    <row r="50">
      <c r="A50" s="180"/>
      <c r="B50" s="180"/>
      <c r="C50" s="180"/>
      <c r="D50" s="180"/>
      <c r="E50" s="180"/>
      <c r="F50" s="180"/>
      <c r="G50" s="239"/>
    </row>
    <row r="51">
      <c r="A51" s="178">
        <v>7.0</v>
      </c>
      <c r="B51" s="178">
        <v>8.0</v>
      </c>
      <c r="C51" s="178">
        <v>9.0</v>
      </c>
      <c r="D51" s="178">
        <v>10.0</v>
      </c>
      <c r="E51" s="178">
        <v>11.0</v>
      </c>
      <c r="F51" s="178">
        <v>12.0</v>
      </c>
      <c r="G51" s="237">
        <v>13.0</v>
      </c>
    </row>
    <row r="52">
      <c r="A52" s="180"/>
      <c r="B52" s="180"/>
      <c r="C52" s="180"/>
      <c r="D52" s="180"/>
      <c r="E52" s="180"/>
      <c r="F52" s="175"/>
      <c r="G52" s="175"/>
    </row>
    <row r="53">
      <c r="A53" s="178">
        <v>14.0</v>
      </c>
      <c r="B53" s="178">
        <v>15.0</v>
      </c>
      <c r="C53" s="178">
        <v>16.0</v>
      </c>
      <c r="D53" s="178">
        <v>17.0</v>
      </c>
      <c r="E53" s="178">
        <v>18.0</v>
      </c>
      <c r="F53" s="178">
        <v>19.0</v>
      </c>
      <c r="G53" s="237">
        <v>20.0</v>
      </c>
    </row>
    <row r="54">
      <c r="A54" s="180"/>
      <c r="B54" s="180"/>
      <c r="C54" s="180"/>
      <c r="D54" s="180"/>
      <c r="E54" s="180"/>
      <c r="F54" s="180"/>
      <c r="G54" s="239"/>
    </row>
    <row r="55">
      <c r="A55" s="178">
        <v>21.0</v>
      </c>
      <c r="B55" s="178">
        <v>22.0</v>
      </c>
      <c r="C55" s="178">
        <v>23.0</v>
      </c>
      <c r="D55" s="178">
        <v>24.0</v>
      </c>
      <c r="E55" s="178">
        <v>25.0</v>
      </c>
      <c r="F55" s="178">
        <v>26.0</v>
      </c>
      <c r="G55" s="237">
        <v>27.0</v>
      </c>
    </row>
    <row r="56">
      <c r="A56" s="180"/>
      <c r="B56" s="180"/>
      <c r="C56" s="180"/>
      <c r="D56" s="180"/>
      <c r="E56" s="180"/>
      <c r="F56" s="180"/>
      <c r="G56" s="239"/>
    </row>
    <row r="57">
      <c r="A57" s="178">
        <v>28.0</v>
      </c>
      <c r="B57" s="178">
        <v>29.0</v>
      </c>
      <c r="C57" s="178">
        <v>30.0</v>
      </c>
      <c r="D57" s="178">
        <v>31.0</v>
      </c>
      <c r="E57" s="175"/>
      <c r="F57" s="175"/>
      <c r="G57" s="253"/>
    </row>
    <row r="58">
      <c r="A58" s="180"/>
      <c r="B58" s="180"/>
      <c r="C58" s="180"/>
      <c r="D58" s="180"/>
      <c r="E58" s="175"/>
      <c r="F58" s="175"/>
      <c r="G58" s="253"/>
    </row>
    <row r="59">
      <c r="A59" s="174" t="s">
        <v>3246</v>
      </c>
      <c r="D59" s="175"/>
      <c r="E59" s="175"/>
      <c r="F59" s="175"/>
      <c r="G59" s="234">
        <v>1712.0</v>
      </c>
    </row>
    <row r="60">
      <c r="A60" s="175"/>
      <c r="B60" s="175"/>
      <c r="C60" s="175"/>
      <c r="D60" s="175"/>
      <c r="E60" s="178">
        <v>1.0</v>
      </c>
      <c r="F60" s="178">
        <v>2.0</v>
      </c>
      <c r="G60" s="178">
        <v>3.0</v>
      </c>
    </row>
    <row r="61">
      <c r="A61" s="175"/>
      <c r="B61" s="175"/>
      <c r="C61" s="175"/>
      <c r="D61" s="175"/>
      <c r="E61" s="180"/>
      <c r="F61" s="180"/>
      <c r="G61" s="239"/>
    </row>
    <row r="62">
      <c r="A62" s="178">
        <v>4.0</v>
      </c>
      <c r="B62" s="178">
        <v>5.0</v>
      </c>
      <c r="C62" s="178">
        <v>6.0</v>
      </c>
      <c r="D62" s="178">
        <v>7.0</v>
      </c>
      <c r="E62" s="178">
        <v>8.0</v>
      </c>
      <c r="F62" s="178">
        <v>9.0</v>
      </c>
      <c r="G62" s="237">
        <v>10.0</v>
      </c>
    </row>
    <row r="63">
      <c r="A63" s="180"/>
      <c r="B63" s="180"/>
      <c r="C63" s="180"/>
      <c r="D63" s="180"/>
      <c r="E63" s="180"/>
      <c r="F63" s="180"/>
      <c r="G63" s="239"/>
    </row>
    <row r="64">
      <c r="A64" s="178">
        <v>11.0</v>
      </c>
      <c r="B64" s="178">
        <v>12.0</v>
      </c>
      <c r="C64" s="178">
        <v>13.0</v>
      </c>
      <c r="D64" s="178">
        <v>14.0</v>
      </c>
      <c r="E64" s="178">
        <v>15.0</v>
      </c>
      <c r="F64" s="178">
        <v>16.0</v>
      </c>
      <c r="G64" s="237">
        <v>17.0</v>
      </c>
    </row>
    <row r="65">
      <c r="A65" s="180"/>
      <c r="B65" s="180"/>
      <c r="C65" s="180"/>
      <c r="D65" s="180"/>
      <c r="E65" s="180"/>
      <c r="F65" s="175"/>
      <c r="G65" s="175"/>
    </row>
    <row r="66">
      <c r="A66" s="178">
        <v>18.0</v>
      </c>
      <c r="B66" s="178">
        <v>19.0</v>
      </c>
      <c r="C66" s="178">
        <v>20.0</v>
      </c>
      <c r="D66" s="178">
        <v>21.0</v>
      </c>
      <c r="E66" s="178">
        <v>22.0</v>
      </c>
      <c r="F66" s="178">
        <v>23.0</v>
      </c>
      <c r="G66" s="237">
        <v>24.0</v>
      </c>
    </row>
    <row r="67">
      <c r="A67" s="180"/>
      <c r="B67" s="180"/>
      <c r="C67" s="180"/>
      <c r="D67" s="180"/>
      <c r="E67" s="180"/>
      <c r="F67" s="180"/>
      <c r="G67" s="239"/>
    </row>
    <row r="68">
      <c r="A68" s="178">
        <v>25.0</v>
      </c>
      <c r="B68" s="178">
        <v>26.0</v>
      </c>
      <c r="C68" s="178">
        <v>27.0</v>
      </c>
      <c r="D68" s="178">
        <v>28.0</v>
      </c>
      <c r="E68" s="178">
        <v>29.0</v>
      </c>
      <c r="F68" s="178">
        <v>30.0</v>
      </c>
      <c r="G68" s="253"/>
    </row>
    <row r="69">
      <c r="A69" s="180"/>
      <c r="B69" s="180"/>
      <c r="C69" s="180"/>
      <c r="D69" s="180"/>
      <c r="E69" s="180"/>
      <c r="F69" s="180"/>
      <c r="G69" s="253"/>
    </row>
    <row r="70">
      <c r="A70" s="174" t="s">
        <v>3247</v>
      </c>
      <c r="D70" s="175"/>
      <c r="E70" s="175"/>
      <c r="F70" s="175"/>
      <c r="G70" s="234">
        <v>1712.0</v>
      </c>
    </row>
    <row r="71">
      <c r="A71" s="175"/>
      <c r="B71" s="175"/>
      <c r="C71" s="175"/>
      <c r="D71" s="175"/>
      <c r="E71" s="175"/>
      <c r="F71" s="175"/>
      <c r="G71" s="237">
        <v>1.0</v>
      </c>
    </row>
    <row r="72">
      <c r="A72" s="175"/>
      <c r="B72" s="175"/>
      <c r="C72" s="175"/>
      <c r="D72" s="175"/>
      <c r="E72" s="175"/>
      <c r="F72" s="175"/>
      <c r="G72" s="239"/>
    </row>
    <row r="73">
      <c r="A73" s="178">
        <v>2.0</v>
      </c>
      <c r="B73" s="178">
        <v>3.0</v>
      </c>
      <c r="C73" s="178">
        <v>4.0</v>
      </c>
      <c r="D73" s="178">
        <v>5.0</v>
      </c>
      <c r="E73" s="178">
        <v>6.0</v>
      </c>
      <c r="F73" s="178">
        <v>7.0</v>
      </c>
      <c r="G73" s="237">
        <v>8.0</v>
      </c>
    </row>
    <row r="74">
      <c r="A74" s="180"/>
      <c r="B74" s="180"/>
      <c r="C74" s="180"/>
      <c r="D74" s="180"/>
      <c r="E74" s="180"/>
      <c r="F74" s="180"/>
      <c r="G74" s="239"/>
    </row>
    <row r="75">
      <c r="A75" s="178">
        <v>9.0</v>
      </c>
      <c r="B75" s="178">
        <v>10.0</v>
      </c>
      <c r="C75" s="178">
        <v>11.0</v>
      </c>
      <c r="D75" s="178">
        <v>12.0</v>
      </c>
      <c r="E75" s="178">
        <v>13.0</v>
      </c>
      <c r="F75" s="178">
        <v>14.0</v>
      </c>
      <c r="G75" s="237">
        <v>15.0</v>
      </c>
    </row>
    <row r="76">
      <c r="A76" s="180"/>
      <c r="B76" s="180"/>
      <c r="C76" s="180"/>
      <c r="D76" s="180"/>
      <c r="E76" s="180"/>
      <c r="F76" s="262" t="s">
        <v>3398</v>
      </c>
      <c r="G76" s="175"/>
    </row>
    <row r="77">
      <c r="A77" s="178">
        <v>16.0</v>
      </c>
      <c r="B77" s="178">
        <v>17.0</v>
      </c>
      <c r="C77" s="178">
        <v>18.0</v>
      </c>
      <c r="D77" s="178">
        <v>19.0</v>
      </c>
      <c r="E77" s="178">
        <v>20.0</v>
      </c>
      <c r="F77" s="178">
        <v>21.0</v>
      </c>
      <c r="G77" s="237">
        <v>22.0</v>
      </c>
    </row>
    <row r="78">
      <c r="A78" s="180"/>
      <c r="B78" s="180"/>
      <c r="C78" s="180"/>
      <c r="D78" s="180"/>
      <c r="E78" s="180"/>
      <c r="F78" s="180"/>
      <c r="G78" s="239"/>
    </row>
    <row r="79">
      <c r="A79" s="178">
        <v>23.0</v>
      </c>
      <c r="B79" s="178">
        <v>24.0</v>
      </c>
      <c r="C79" s="178">
        <v>25.0</v>
      </c>
      <c r="D79" s="178">
        <v>26.0</v>
      </c>
      <c r="E79" s="178">
        <v>27.0</v>
      </c>
      <c r="F79" s="178">
        <v>28.0</v>
      </c>
      <c r="G79" s="237">
        <v>29.0</v>
      </c>
    </row>
    <row r="80">
      <c r="A80" s="180"/>
      <c r="B80" s="193" t="s">
        <v>3399</v>
      </c>
      <c r="C80" s="180"/>
      <c r="D80" s="180"/>
      <c r="E80" s="180"/>
      <c r="F80" s="180"/>
      <c r="G80" s="239"/>
    </row>
    <row r="81">
      <c r="A81" s="178">
        <v>30.0</v>
      </c>
      <c r="B81" s="178">
        <v>31.0</v>
      </c>
      <c r="C81" s="175"/>
      <c r="D81" s="175"/>
      <c r="E81" s="175"/>
      <c r="F81" s="175"/>
      <c r="G81" s="253"/>
    </row>
    <row r="82">
      <c r="A82" s="180"/>
      <c r="B82" s="180"/>
      <c r="C82" s="175"/>
      <c r="D82" s="175"/>
      <c r="E82" s="175"/>
      <c r="F82" s="175"/>
      <c r="G82" s="253"/>
    </row>
    <row r="83">
      <c r="A83" s="174" t="s">
        <v>3248</v>
      </c>
      <c r="D83" s="175"/>
      <c r="E83" s="175"/>
      <c r="F83" s="175"/>
      <c r="G83" s="234">
        <v>1712.0</v>
      </c>
    </row>
    <row r="84">
      <c r="A84" s="175"/>
      <c r="B84" s="175"/>
      <c r="C84" s="178">
        <v>1.0</v>
      </c>
      <c r="D84" s="178">
        <v>2.0</v>
      </c>
      <c r="E84" s="178">
        <v>3.0</v>
      </c>
      <c r="F84" s="178">
        <v>4.0</v>
      </c>
      <c r="G84" s="178">
        <v>5.0</v>
      </c>
    </row>
    <row r="85">
      <c r="A85" s="175"/>
      <c r="B85" s="175"/>
      <c r="C85" s="180"/>
      <c r="D85" s="180"/>
      <c r="E85" s="180"/>
      <c r="F85" s="180"/>
      <c r="G85" s="239"/>
    </row>
    <row r="86">
      <c r="A86" s="178">
        <v>6.0</v>
      </c>
      <c r="B86" s="178">
        <v>7.0</v>
      </c>
      <c r="C86" s="178">
        <v>8.0</v>
      </c>
      <c r="D86" s="178">
        <v>9.0</v>
      </c>
      <c r="E86" s="178">
        <v>10.0</v>
      </c>
      <c r="F86" s="178">
        <v>11.0</v>
      </c>
      <c r="G86" s="237">
        <v>12.0</v>
      </c>
    </row>
    <row r="87">
      <c r="A87" s="180"/>
      <c r="B87" s="180"/>
      <c r="C87" s="180"/>
      <c r="D87" s="180"/>
      <c r="E87" s="180"/>
      <c r="F87" s="175"/>
      <c r="G87" s="175"/>
    </row>
    <row r="88">
      <c r="A88" s="178">
        <v>13.0</v>
      </c>
      <c r="B88" s="178">
        <v>14.0</v>
      </c>
      <c r="C88" s="178">
        <v>15.0</v>
      </c>
      <c r="D88" s="178">
        <v>16.0</v>
      </c>
      <c r="E88" s="178">
        <v>17.0</v>
      </c>
      <c r="F88" s="178">
        <v>18.0</v>
      </c>
      <c r="G88" s="237">
        <v>19.0</v>
      </c>
    </row>
    <row r="89">
      <c r="A89" s="180"/>
      <c r="B89" s="180"/>
      <c r="C89" s="180"/>
      <c r="D89" s="175"/>
      <c r="E89" s="180"/>
      <c r="F89" s="180"/>
      <c r="G89" s="204"/>
    </row>
    <row r="90">
      <c r="A90" s="178">
        <v>20.0</v>
      </c>
      <c r="B90" s="178">
        <v>21.0</v>
      </c>
      <c r="C90" s="178">
        <v>22.0</v>
      </c>
      <c r="D90" s="178">
        <v>23.0</v>
      </c>
      <c r="E90" s="178">
        <v>24.0</v>
      </c>
      <c r="F90" s="178">
        <v>25.0</v>
      </c>
      <c r="G90" s="237">
        <v>26.0</v>
      </c>
    </row>
    <row r="91">
      <c r="A91" s="180"/>
      <c r="B91" s="180"/>
      <c r="C91" s="180"/>
      <c r="D91" s="180"/>
      <c r="E91" s="180"/>
      <c r="F91" s="180"/>
      <c r="G91" s="239"/>
    </row>
    <row r="92">
      <c r="A92" s="178">
        <v>27.0</v>
      </c>
      <c r="B92" s="178">
        <v>28.0</v>
      </c>
      <c r="C92" s="178">
        <v>29.0</v>
      </c>
      <c r="D92" s="178">
        <v>30.0</v>
      </c>
      <c r="E92" s="178">
        <v>1.0</v>
      </c>
      <c r="F92" s="178">
        <v>2.0</v>
      </c>
      <c r="G92" s="237">
        <v>3.0</v>
      </c>
    </row>
    <row r="93">
      <c r="A93" s="180"/>
      <c r="B93" s="180"/>
      <c r="C93" s="180"/>
      <c r="D93" s="180"/>
      <c r="E93" s="180"/>
      <c r="F93" s="180"/>
      <c r="G93" s="239"/>
    </row>
    <row r="94">
      <c r="A94" s="178">
        <v>4.0</v>
      </c>
      <c r="B94" s="178">
        <v>5.0</v>
      </c>
      <c r="C94" s="178">
        <v>6.0</v>
      </c>
      <c r="D94" s="178">
        <v>7.0</v>
      </c>
      <c r="E94" s="175"/>
      <c r="F94" s="175"/>
      <c r="G94" s="175"/>
    </row>
    <row r="95">
      <c r="A95" s="180"/>
      <c r="B95" s="180"/>
      <c r="C95" s="180"/>
      <c r="D95" s="180"/>
      <c r="E95" s="175"/>
      <c r="F95" s="175"/>
      <c r="G95" s="253"/>
    </row>
    <row r="96">
      <c r="A96" s="174" t="s">
        <v>3250</v>
      </c>
      <c r="D96" s="175"/>
      <c r="E96" s="175"/>
      <c r="F96" s="175"/>
      <c r="G96" s="234">
        <v>1712.0</v>
      </c>
    </row>
    <row r="97">
      <c r="A97" s="175"/>
      <c r="B97" s="175"/>
      <c r="C97" s="175"/>
      <c r="D97" s="175"/>
      <c r="E97" s="178">
        <v>1.0</v>
      </c>
      <c r="F97" s="178">
        <v>2.0</v>
      </c>
      <c r="G97" s="178">
        <v>3.0</v>
      </c>
    </row>
    <row r="98">
      <c r="A98" s="175"/>
      <c r="B98" s="175"/>
      <c r="C98" s="175"/>
      <c r="D98" s="175"/>
      <c r="E98" s="180"/>
      <c r="F98" s="180"/>
      <c r="G98" s="239"/>
    </row>
    <row r="99">
      <c r="A99" s="178">
        <v>4.0</v>
      </c>
      <c r="B99" s="178">
        <v>5.0</v>
      </c>
      <c r="C99" s="178">
        <v>6.0</v>
      </c>
      <c r="D99" s="178">
        <v>7.0</v>
      </c>
      <c r="E99" s="178">
        <v>8.0</v>
      </c>
      <c r="F99" s="178">
        <v>9.0</v>
      </c>
      <c r="G99" s="237">
        <v>10.0</v>
      </c>
    </row>
    <row r="100">
      <c r="A100" s="180"/>
      <c r="B100" s="180"/>
      <c r="C100" s="180"/>
      <c r="D100" s="180"/>
      <c r="E100" s="180"/>
      <c r="F100" s="180"/>
      <c r="G100" s="239"/>
    </row>
    <row r="101">
      <c r="A101" s="178">
        <v>11.0</v>
      </c>
      <c r="B101" s="178">
        <v>12.0</v>
      </c>
      <c r="C101" s="178">
        <v>13.0</v>
      </c>
      <c r="D101" s="178">
        <v>14.0</v>
      </c>
      <c r="E101" s="178">
        <v>15.0</v>
      </c>
      <c r="F101" s="178">
        <v>16.0</v>
      </c>
      <c r="G101" s="237">
        <v>17.0</v>
      </c>
    </row>
    <row r="102">
      <c r="A102" s="180"/>
      <c r="B102" s="180"/>
      <c r="C102" s="180"/>
      <c r="D102" s="180"/>
      <c r="E102" s="180"/>
      <c r="F102" s="175"/>
      <c r="G102" s="175"/>
    </row>
    <row r="103">
      <c r="A103" s="178">
        <v>18.0</v>
      </c>
      <c r="B103" s="178">
        <v>19.0</v>
      </c>
      <c r="C103" s="178">
        <v>20.0</v>
      </c>
      <c r="D103" s="178">
        <v>21.0</v>
      </c>
      <c r="E103" s="178">
        <v>22.0</v>
      </c>
      <c r="F103" s="178">
        <v>23.0</v>
      </c>
      <c r="G103" s="237">
        <v>24.0</v>
      </c>
    </row>
    <row r="104">
      <c r="A104" s="180"/>
      <c r="B104" s="180"/>
      <c r="C104" s="180"/>
      <c r="D104" s="180"/>
      <c r="E104" s="193"/>
      <c r="F104" s="180"/>
      <c r="G104" s="239"/>
    </row>
    <row r="105">
      <c r="A105" s="178">
        <v>25.0</v>
      </c>
      <c r="B105" s="178">
        <v>26.0</v>
      </c>
      <c r="C105" s="178">
        <v>27.0</v>
      </c>
      <c r="D105" s="178">
        <v>28.0</v>
      </c>
      <c r="E105" s="178">
        <v>29.0</v>
      </c>
      <c r="F105" s="178">
        <v>30.0</v>
      </c>
      <c r="G105" s="237">
        <v>31.0</v>
      </c>
    </row>
    <row r="106">
      <c r="A106" s="180"/>
      <c r="B106" s="180"/>
      <c r="C106" s="180"/>
      <c r="D106" s="180"/>
      <c r="E106" s="180"/>
      <c r="F106" s="180"/>
      <c r="G106" s="239"/>
    </row>
    <row r="107">
      <c r="A107" s="174" t="s">
        <v>3251</v>
      </c>
      <c r="D107" s="175"/>
      <c r="E107" s="175"/>
      <c r="F107" s="175"/>
      <c r="G107" s="234">
        <v>1712.0</v>
      </c>
    </row>
    <row r="108">
      <c r="A108" s="178">
        <v>1.0</v>
      </c>
      <c r="B108" s="178">
        <v>2.0</v>
      </c>
      <c r="C108" s="178">
        <v>3.0</v>
      </c>
      <c r="D108" s="178">
        <v>4.0</v>
      </c>
      <c r="E108" s="178">
        <v>5.0</v>
      </c>
      <c r="F108" s="178">
        <v>6.0</v>
      </c>
      <c r="G108" s="178">
        <v>7.0</v>
      </c>
    </row>
    <row r="109">
      <c r="A109" s="180"/>
      <c r="B109" s="180"/>
      <c r="C109" s="180"/>
      <c r="D109" s="180"/>
      <c r="E109" s="180"/>
      <c r="F109" s="180"/>
      <c r="G109" s="239"/>
    </row>
    <row r="110">
      <c r="A110" s="178">
        <v>8.0</v>
      </c>
      <c r="B110" s="178">
        <v>9.0</v>
      </c>
      <c r="C110" s="178">
        <v>10.0</v>
      </c>
      <c r="D110" s="178">
        <v>11.0</v>
      </c>
      <c r="E110" s="178">
        <v>12.0</v>
      </c>
      <c r="F110" s="178">
        <v>13.0</v>
      </c>
      <c r="G110" s="237">
        <v>14.0</v>
      </c>
    </row>
    <row r="111">
      <c r="A111" s="180"/>
      <c r="B111" s="193"/>
      <c r="C111" s="180"/>
      <c r="D111" s="180"/>
      <c r="E111" s="193"/>
      <c r="F111" s="175"/>
      <c r="G111" s="175"/>
    </row>
    <row r="112">
      <c r="A112" s="178">
        <v>15.0</v>
      </c>
      <c r="B112" s="263">
        <v>16.0</v>
      </c>
      <c r="C112" s="263">
        <v>17.0</v>
      </c>
      <c r="D112" s="263">
        <v>18.0</v>
      </c>
      <c r="E112" s="263">
        <v>19.0</v>
      </c>
      <c r="F112" s="263">
        <v>20.0</v>
      </c>
      <c r="G112" s="263">
        <v>21.0</v>
      </c>
    </row>
    <row r="113">
      <c r="A113" s="252" t="s">
        <v>3400</v>
      </c>
      <c r="B113" s="264" t="s">
        <v>227</v>
      </c>
      <c r="C113" s="175"/>
      <c r="D113" s="180"/>
      <c r="E113" s="265" t="s">
        <v>237</v>
      </c>
      <c r="F113" s="180"/>
      <c r="G113" s="239"/>
    </row>
    <row r="114">
      <c r="A114" s="263">
        <v>22.0</v>
      </c>
      <c r="B114" s="263">
        <v>23.0</v>
      </c>
      <c r="C114" s="263">
        <v>24.0</v>
      </c>
      <c r="D114" s="263">
        <v>25.0</v>
      </c>
      <c r="E114" s="263">
        <v>26.0</v>
      </c>
      <c r="F114" s="263">
        <v>27.0</v>
      </c>
      <c r="G114" s="263">
        <v>28.0</v>
      </c>
    </row>
    <row r="115">
      <c r="A115" s="180"/>
      <c r="B115" s="180"/>
      <c r="C115" s="180"/>
      <c r="D115" s="180"/>
      <c r="E115" s="180"/>
      <c r="F115" s="180"/>
      <c r="G115" s="239"/>
    </row>
    <row r="116">
      <c r="A116" s="263">
        <v>29.0</v>
      </c>
      <c r="B116" s="263">
        <v>30.0</v>
      </c>
      <c r="C116" s="263">
        <v>31.0</v>
      </c>
      <c r="D116" s="175"/>
      <c r="E116" s="175"/>
      <c r="F116" s="175"/>
      <c r="G116" s="253"/>
    </row>
    <row r="117">
      <c r="A117" s="180"/>
      <c r="B117" s="180"/>
      <c r="C117" s="180"/>
      <c r="D117" s="175"/>
      <c r="E117" s="175"/>
      <c r="F117" s="175"/>
      <c r="G117" s="253"/>
    </row>
  </sheetData>
  <mergeCells count="10">
    <mergeCell ref="A83:C83"/>
    <mergeCell ref="A96:C96"/>
    <mergeCell ref="A107:C107"/>
    <mergeCell ref="A1:C1"/>
    <mergeCell ref="A15:C15"/>
    <mergeCell ref="A26:C26"/>
    <mergeCell ref="A37:C37"/>
    <mergeCell ref="A48:C48"/>
    <mergeCell ref="A59:C59"/>
    <mergeCell ref="A70:C7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63"/>
    <col customWidth="1" min="2" max="2" width="8.88"/>
    <col customWidth="1" min="3" max="9" width="18.88"/>
    <col customWidth="1" min="10" max="10" width="2.63"/>
  </cols>
  <sheetData>
    <row r="1" ht="6.0" customHeight="1">
      <c r="A1" s="266"/>
      <c r="B1" s="267" t="s">
        <v>3401</v>
      </c>
      <c r="C1" s="268"/>
      <c r="D1" s="268"/>
      <c r="E1" s="269"/>
      <c r="F1" s="269"/>
      <c r="G1" s="269"/>
      <c r="H1" s="269"/>
      <c r="I1" s="269"/>
      <c r="J1" s="270"/>
    </row>
    <row r="2" ht="6.0" customHeight="1">
      <c r="A2" s="271"/>
      <c r="B2" s="272" t="s">
        <v>3402</v>
      </c>
      <c r="C2" s="273" t="s">
        <v>3403</v>
      </c>
      <c r="D2" s="274"/>
      <c r="E2" s="275"/>
      <c r="J2" s="276"/>
    </row>
    <row r="3" ht="36.0" customHeight="1">
      <c r="A3" s="277"/>
      <c r="B3" s="277"/>
      <c r="C3" s="278">
        <f>C2</f>
        <v>-68717</v>
      </c>
      <c r="D3" s="279">
        <f>C2+1</f>
        <v>-68716</v>
      </c>
      <c r="E3" s="279">
        <f>C2+2</f>
        <v>-68715</v>
      </c>
      <c r="F3" s="279">
        <f>C2+3</f>
        <v>-68714</v>
      </c>
      <c r="G3" s="279">
        <f>C2+4</f>
        <v>-68713</v>
      </c>
      <c r="H3" s="279">
        <f>C2+5</f>
        <v>-68712</v>
      </c>
      <c r="I3" s="279">
        <f>C2+6</f>
        <v>-68711</v>
      </c>
      <c r="J3" s="277"/>
    </row>
    <row r="4" ht="22.5" customHeight="1">
      <c r="A4" s="280"/>
      <c r="B4" s="281"/>
      <c r="C4" s="282" t="str">
        <f t="shared" ref="C4:I4" si="1">upper(TEXT(C3, "DDDD"))</f>
        <v>MAANDAG</v>
      </c>
      <c r="D4" s="282" t="str">
        <f t="shared" si="1"/>
        <v>DINSDAG</v>
      </c>
      <c r="E4" s="282" t="str">
        <f t="shared" si="1"/>
        <v>WOENSDAG</v>
      </c>
      <c r="F4" s="282" t="str">
        <f t="shared" si="1"/>
        <v>DONDERDAG</v>
      </c>
      <c r="G4" s="282" t="str">
        <f t="shared" si="1"/>
        <v>VRIJDAG</v>
      </c>
      <c r="H4" s="282" t="str">
        <f t="shared" si="1"/>
        <v>ZATERDAG</v>
      </c>
      <c r="I4" s="282" t="str">
        <f t="shared" si="1"/>
        <v>ZONDAG</v>
      </c>
      <c r="J4" s="280"/>
    </row>
    <row r="5" ht="22.5" customHeight="1">
      <c r="A5" s="283"/>
      <c r="B5" s="284">
        <v>0.2916666666666667</v>
      </c>
      <c r="C5" s="285"/>
      <c r="D5" s="285"/>
      <c r="E5" s="286"/>
      <c r="F5" s="285" t="s">
        <v>3404</v>
      </c>
      <c r="G5" s="286"/>
      <c r="H5" s="286"/>
      <c r="I5" s="286"/>
      <c r="J5" s="287"/>
    </row>
    <row r="6" ht="22.5" customHeight="1">
      <c r="A6" s="283"/>
      <c r="B6" s="288">
        <v>0.3125</v>
      </c>
      <c r="C6" s="289"/>
      <c r="D6" s="289"/>
      <c r="E6" s="289" t="s">
        <v>3405</v>
      </c>
      <c r="F6" s="289" t="s">
        <v>3406</v>
      </c>
      <c r="G6" s="290"/>
      <c r="H6" s="290"/>
      <c r="I6" s="290"/>
      <c r="J6" s="287"/>
    </row>
    <row r="7" ht="22.5" customHeight="1">
      <c r="A7" s="283"/>
      <c r="B7" s="284">
        <v>0.3333333333333333</v>
      </c>
      <c r="C7" s="285"/>
      <c r="D7" s="285"/>
      <c r="E7" s="285" t="s">
        <v>3407</v>
      </c>
      <c r="F7" s="285"/>
      <c r="G7" s="285" t="s">
        <v>3408</v>
      </c>
      <c r="H7" s="286"/>
      <c r="I7" s="285"/>
      <c r="J7" s="287"/>
    </row>
    <row r="8" ht="22.5" customHeight="1">
      <c r="A8" s="283"/>
      <c r="B8" s="288">
        <v>0.3541666666666667</v>
      </c>
      <c r="C8" s="289"/>
      <c r="D8" s="289"/>
      <c r="E8" s="289"/>
      <c r="F8" s="290"/>
      <c r="G8" s="290"/>
      <c r="H8" s="290"/>
      <c r="I8" s="290"/>
      <c r="J8" s="287"/>
    </row>
    <row r="9" ht="22.5" customHeight="1">
      <c r="A9" s="283"/>
      <c r="B9" s="284">
        <v>0.375</v>
      </c>
      <c r="C9" s="285"/>
      <c r="D9" s="285"/>
      <c r="E9" s="285"/>
      <c r="F9" s="286"/>
      <c r="G9" s="286"/>
      <c r="H9" s="286"/>
      <c r="I9" s="285"/>
      <c r="J9" s="287"/>
    </row>
    <row r="10" ht="22.5" customHeight="1">
      <c r="A10" s="283"/>
      <c r="B10" s="288">
        <v>0.3958333333333333</v>
      </c>
      <c r="C10" s="289"/>
      <c r="D10" s="289"/>
      <c r="E10" s="289"/>
      <c r="F10" s="290"/>
      <c r="G10" s="290"/>
      <c r="H10" s="290"/>
      <c r="I10" s="290"/>
      <c r="J10" s="287"/>
    </row>
    <row r="11" ht="22.5" customHeight="1">
      <c r="A11" s="283"/>
      <c r="B11" s="284">
        <v>0.4166666666666667</v>
      </c>
      <c r="C11" s="285"/>
      <c r="D11" s="285"/>
      <c r="E11" s="285"/>
      <c r="F11" s="286"/>
      <c r="G11" s="286"/>
      <c r="H11" s="286"/>
      <c r="I11" s="286"/>
      <c r="J11" s="287"/>
    </row>
    <row r="12" ht="22.5" customHeight="1">
      <c r="A12" s="283"/>
      <c r="B12" s="288">
        <v>0.4375</v>
      </c>
      <c r="C12" s="289"/>
      <c r="D12" s="289"/>
      <c r="E12" s="289"/>
      <c r="F12" s="290"/>
      <c r="G12" s="290"/>
      <c r="H12" s="290"/>
      <c r="I12" s="290"/>
      <c r="J12" s="287"/>
    </row>
    <row r="13" ht="22.5" customHeight="1">
      <c r="A13" s="283"/>
      <c r="B13" s="284">
        <v>0.4583333333333333</v>
      </c>
      <c r="C13" s="285"/>
      <c r="D13" s="286"/>
      <c r="E13" s="285" t="s">
        <v>3409</v>
      </c>
      <c r="F13" s="286"/>
      <c r="G13" s="286"/>
      <c r="H13" s="286"/>
      <c r="I13" s="285"/>
      <c r="J13" s="287"/>
    </row>
    <row r="14" ht="22.5" customHeight="1">
      <c r="A14" s="283"/>
      <c r="B14" s="288">
        <v>0.4791666666666667</v>
      </c>
      <c r="C14" s="289"/>
      <c r="D14" s="290"/>
      <c r="E14" s="289" t="s">
        <v>3410</v>
      </c>
      <c r="F14" s="290"/>
      <c r="G14" s="290"/>
      <c r="H14" s="290"/>
      <c r="I14" s="289"/>
      <c r="J14" s="287"/>
    </row>
    <row r="15" ht="22.5" customHeight="1">
      <c r="A15" s="283"/>
      <c r="B15" s="284">
        <v>0.5</v>
      </c>
      <c r="C15" s="285"/>
      <c r="D15" s="286"/>
      <c r="E15" s="285" t="s">
        <v>3411</v>
      </c>
      <c r="F15" s="286"/>
      <c r="G15" s="286"/>
      <c r="H15" s="286"/>
      <c r="I15" s="285" t="s">
        <v>3412</v>
      </c>
      <c r="J15" s="287"/>
    </row>
    <row r="16" ht="22.5" customHeight="1">
      <c r="A16" s="283"/>
      <c r="B16" s="288">
        <v>0.5208333333333334</v>
      </c>
      <c r="C16" s="289"/>
      <c r="D16" s="290"/>
      <c r="E16" s="289" t="s">
        <v>3413</v>
      </c>
      <c r="F16" s="290"/>
      <c r="G16" s="290"/>
      <c r="H16" s="290"/>
      <c r="I16" s="290"/>
      <c r="J16" s="287"/>
    </row>
    <row r="17" ht="22.5" customHeight="1">
      <c r="A17" s="283"/>
      <c r="B17" s="284">
        <v>0.5416666666666666</v>
      </c>
      <c r="C17" s="285"/>
      <c r="D17" s="286"/>
      <c r="E17" s="285" t="s">
        <v>3414</v>
      </c>
      <c r="F17" s="286"/>
      <c r="G17" s="286"/>
      <c r="H17" s="286"/>
      <c r="I17" s="286"/>
      <c r="J17" s="287"/>
    </row>
    <row r="18" ht="22.5" customHeight="1">
      <c r="A18" s="283"/>
      <c r="B18" s="288">
        <v>0.5625</v>
      </c>
      <c r="C18" s="290"/>
      <c r="D18" s="290"/>
      <c r="E18" s="289" t="s">
        <v>3415</v>
      </c>
      <c r="F18" s="290"/>
      <c r="G18" s="290"/>
      <c r="H18" s="290"/>
      <c r="I18" s="290"/>
      <c r="J18" s="287"/>
    </row>
    <row r="19" ht="22.5" customHeight="1">
      <c r="A19" s="283"/>
      <c r="B19" s="284">
        <v>0.5833333333333334</v>
      </c>
      <c r="C19" s="286"/>
      <c r="D19" s="286"/>
      <c r="E19" s="285" t="s">
        <v>3416</v>
      </c>
      <c r="F19" s="285" t="s">
        <v>3408</v>
      </c>
      <c r="G19" s="285" t="s">
        <v>3408</v>
      </c>
      <c r="H19" s="286"/>
      <c r="I19" s="286"/>
      <c r="J19" s="287"/>
    </row>
    <row r="20" ht="22.5" customHeight="1">
      <c r="A20" s="283"/>
      <c r="B20" s="288">
        <v>0.6041666666666666</v>
      </c>
      <c r="C20" s="291"/>
      <c r="D20" s="291"/>
      <c r="E20" s="291"/>
      <c r="F20" s="291"/>
      <c r="G20" s="291"/>
      <c r="H20" s="291"/>
      <c r="I20" s="291"/>
      <c r="J20" s="287"/>
    </row>
    <row r="21" ht="22.5" customHeight="1">
      <c r="A21" s="283"/>
      <c r="B21" s="284">
        <v>0.625</v>
      </c>
      <c r="C21" s="286"/>
      <c r="D21" s="286"/>
      <c r="E21" s="286"/>
      <c r="F21" s="286"/>
      <c r="G21" s="286"/>
      <c r="H21" s="286"/>
      <c r="I21" s="286"/>
      <c r="J21" s="287"/>
    </row>
    <row r="22" ht="22.5" customHeight="1">
      <c r="A22" s="283"/>
      <c r="B22" s="288">
        <v>0.6458333333333334</v>
      </c>
      <c r="C22" s="291"/>
      <c r="D22" s="291"/>
      <c r="E22" s="292" t="s">
        <v>3417</v>
      </c>
      <c r="F22" s="291"/>
      <c r="G22" s="291"/>
      <c r="H22" s="291"/>
      <c r="I22" s="291"/>
      <c r="J22" s="293"/>
    </row>
    <row r="23" ht="22.5" customHeight="1">
      <c r="A23" s="283"/>
      <c r="B23" s="284">
        <v>0.6666666666666666</v>
      </c>
      <c r="C23" s="286"/>
      <c r="D23" s="286"/>
      <c r="E23" s="286"/>
      <c r="F23" s="286"/>
      <c r="G23" s="286"/>
      <c r="H23" s="286"/>
      <c r="I23" s="286"/>
      <c r="J23" s="287"/>
    </row>
    <row r="24" ht="22.5" customHeight="1">
      <c r="A24" s="283"/>
      <c r="B24" s="288">
        <v>0.6875</v>
      </c>
      <c r="C24" s="290"/>
      <c r="D24" s="290"/>
      <c r="E24" s="289" t="s">
        <v>3418</v>
      </c>
      <c r="F24" s="290"/>
      <c r="G24" s="290"/>
      <c r="H24" s="290"/>
      <c r="I24" s="289" t="s">
        <v>3413</v>
      </c>
      <c r="J24" s="287"/>
    </row>
    <row r="25" ht="22.5" customHeight="1">
      <c r="A25" s="283"/>
      <c r="B25" s="284">
        <v>0.7083333333333334</v>
      </c>
      <c r="C25" s="286"/>
      <c r="D25" s="286"/>
      <c r="E25" s="285" t="s">
        <v>3413</v>
      </c>
      <c r="F25" s="286"/>
      <c r="G25" s="286"/>
      <c r="H25" s="286"/>
      <c r="I25" s="285" t="s">
        <v>3419</v>
      </c>
      <c r="J25" s="287"/>
    </row>
    <row r="26" ht="22.5" customHeight="1">
      <c r="A26" s="283"/>
      <c r="B26" s="288">
        <v>0.7291666666666666</v>
      </c>
      <c r="C26" s="294"/>
      <c r="D26" s="294"/>
      <c r="E26" s="294"/>
      <c r="F26" s="294"/>
      <c r="G26" s="294"/>
      <c r="H26" s="294"/>
      <c r="I26" s="294"/>
      <c r="J26" s="287"/>
    </row>
    <row r="27" ht="22.5" customHeight="1">
      <c r="A27" s="283"/>
      <c r="B27" s="284">
        <v>0.75</v>
      </c>
      <c r="C27" s="286"/>
      <c r="D27" s="286"/>
      <c r="E27" s="285" t="s">
        <v>179</v>
      </c>
      <c r="F27" s="286"/>
      <c r="G27" s="286"/>
      <c r="H27" s="286"/>
      <c r="I27" s="286"/>
      <c r="J27" s="287"/>
    </row>
    <row r="28" ht="22.5" customHeight="1">
      <c r="A28" s="283"/>
      <c r="B28" s="288">
        <v>0.7708333333333334</v>
      </c>
      <c r="C28" s="294"/>
      <c r="D28" s="294"/>
      <c r="E28" s="295" t="s">
        <v>3420</v>
      </c>
      <c r="F28" s="294"/>
      <c r="G28" s="294"/>
      <c r="H28" s="294"/>
      <c r="I28" s="294"/>
      <c r="J28" s="287"/>
    </row>
    <row r="29" ht="22.5" customHeight="1">
      <c r="A29" s="283"/>
      <c r="B29" s="284">
        <v>0.7916666666666666</v>
      </c>
      <c r="C29" s="286"/>
      <c r="D29" s="286"/>
      <c r="E29" s="285" t="s">
        <v>3421</v>
      </c>
      <c r="F29" s="286"/>
      <c r="G29" s="286"/>
      <c r="H29" s="286"/>
      <c r="I29" s="286"/>
      <c r="J29" s="287"/>
    </row>
    <row r="30" ht="22.5" customHeight="1">
      <c r="A30" s="283"/>
      <c r="B30" s="288">
        <v>0.8125</v>
      </c>
      <c r="C30" s="294"/>
      <c r="D30" s="294"/>
      <c r="E30" s="294"/>
      <c r="F30" s="294"/>
      <c r="G30" s="294"/>
      <c r="H30" s="294"/>
      <c r="I30" s="294"/>
      <c r="J30" s="287"/>
    </row>
    <row r="31" ht="22.5" customHeight="1">
      <c r="A31" s="283"/>
      <c r="B31" s="284">
        <v>0.8333333333333334</v>
      </c>
      <c r="C31" s="286"/>
      <c r="D31" s="286"/>
      <c r="E31" s="286"/>
      <c r="F31" s="285" t="s">
        <v>3408</v>
      </c>
      <c r="G31" s="285" t="s">
        <v>3408</v>
      </c>
      <c r="H31" s="285" t="s">
        <v>3422</v>
      </c>
      <c r="I31" s="285"/>
      <c r="J31" s="287"/>
    </row>
    <row r="32" ht="22.5" customHeight="1">
      <c r="A32" s="283"/>
      <c r="B32" s="296">
        <v>0.8958333333333334</v>
      </c>
      <c r="C32" s="294"/>
      <c r="D32" s="294"/>
      <c r="E32" s="294"/>
      <c r="F32" s="294"/>
      <c r="G32" s="294"/>
      <c r="H32" s="295" t="s">
        <v>3408</v>
      </c>
      <c r="I32" s="294"/>
      <c r="J32" s="287"/>
    </row>
    <row r="33" ht="22.5" customHeight="1">
      <c r="A33" s="283"/>
      <c r="B33" s="284">
        <v>0.9166666666666666</v>
      </c>
      <c r="C33" s="286"/>
      <c r="D33" s="286"/>
      <c r="E33" s="286"/>
      <c r="F33" s="286"/>
      <c r="G33" s="286"/>
      <c r="H33" s="285" t="s">
        <v>3423</v>
      </c>
      <c r="I33" s="286"/>
      <c r="J33" s="287"/>
    </row>
    <row r="34" ht="22.5" customHeight="1">
      <c r="A34" s="283"/>
      <c r="B34" s="296">
        <v>0.9375</v>
      </c>
      <c r="C34" s="294"/>
      <c r="D34" s="294"/>
      <c r="E34" s="294"/>
      <c r="F34" s="294"/>
      <c r="G34" s="294"/>
      <c r="H34" s="294"/>
      <c r="I34" s="294"/>
      <c r="J34" s="287"/>
    </row>
    <row r="35" ht="22.5" customHeight="1">
      <c r="A35" s="283"/>
      <c r="B35" s="284">
        <v>0.9583333333333334</v>
      </c>
      <c r="C35" s="286"/>
      <c r="D35" s="286"/>
      <c r="E35" s="285"/>
      <c r="F35" s="286"/>
      <c r="G35" s="286"/>
      <c r="H35" s="286"/>
      <c r="I35" s="286"/>
      <c r="J35" s="287"/>
    </row>
    <row r="36" ht="22.5" customHeight="1">
      <c r="A36" s="283"/>
      <c r="B36" s="288">
        <v>0.9791666666666666</v>
      </c>
      <c r="C36" s="294"/>
      <c r="D36" s="294"/>
      <c r="E36" s="297" t="s">
        <v>3424</v>
      </c>
      <c r="F36" s="294"/>
      <c r="G36" s="294"/>
      <c r="H36" s="294"/>
      <c r="I36" s="294"/>
      <c r="J36" s="287"/>
    </row>
    <row r="37" ht="6.0" customHeight="1">
      <c r="A37" s="298"/>
      <c r="B37" s="299"/>
      <c r="C37" s="298"/>
      <c r="D37" s="298"/>
      <c r="E37" s="298"/>
      <c r="F37" s="298"/>
      <c r="G37" s="298"/>
      <c r="H37" s="298"/>
      <c r="I37" s="298"/>
      <c r="J37" s="298"/>
    </row>
  </sheetData>
  <mergeCells count="2">
    <mergeCell ref="B1:D1"/>
    <mergeCell ref="E2:I2"/>
  </mergeCells>
  <printOptions gridLines="1" horizontalCentered="1"/>
  <pageMargins bottom="0.75" footer="0.0" header="0.0" left="0.7" right="0.7" top="0.75"/>
  <pageSetup fitToHeight="0" paperSize="9"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6.25"/>
    <col customWidth="1" min="3" max="3" width="6.5"/>
    <col customWidth="1" min="4" max="4" width="6.63"/>
    <col customWidth="1" min="5" max="5" width="56.88"/>
  </cols>
  <sheetData>
    <row r="1">
      <c r="A1" s="1"/>
      <c r="B1" s="1"/>
      <c r="C1" s="1"/>
      <c r="D1" s="1"/>
      <c r="E1" s="1"/>
      <c r="F1" s="5"/>
      <c r="G1" s="5"/>
      <c r="H1" s="5"/>
      <c r="I1" s="5"/>
      <c r="J1" s="5"/>
      <c r="K1" s="5"/>
      <c r="L1" s="5"/>
      <c r="M1" s="5"/>
      <c r="N1" s="5"/>
      <c r="O1" s="5"/>
      <c r="P1" s="5"/>
      <c r="Q1" s="5"/>
      <c r="R1" s="5"/>
      <c r="S1" s="5"/>
      <c r="T1" s="5"/>
      <c r="U1" s="5"/>
      <c r="V1" s="5"/>
      <c r="W1" s="5"/>
      <c r="X1" s="5"/>
      <c r="Y1" s="5"/>
      <c r="Z1" s="5"/>
      <c r="AA1" s="5"/>
    </row>
    <row r="2">
      <c r="A2" s="1"/>
      <c r="B2" s="1"/>
      <c r="C2" s="1"/>
      <c r="D2" s="1"/>
      <c r="E2" s="1"/>
      <c r="F2" s="5"/>
      <c r="G2" s="5"/>
      <c r="H2" s="5"/>
      <c r="I2" s="5"/>
      <c r="J2" s="5"/>
      <c r="K2" s="5"/>
      <c r="L2" s="5"/>
      <c r="M2" s="5"/>
      <c r="N2" s="5"/>
      <c r="O2" s="5"/>
      <c r="P2" s="5"/>
      <c r="Q2" s="5"/>
      <c r="R2" s="5"/>
      <c r="S2" s="5"/>
      <c r="T2" s="5"/>
      <c r="U2" s="5"/>
      <c r="V2" s="5"/>
      <c r="W2" s="5"/>
      <c r="X2" s="5"/>
      <c r="Y2" s="5"/>
      <c r="Z2" s="5"/>
      <c r="AA2" s="5"/>
    </row>
    <row r="3">
      <c r="A3" s="1"/>
      <c r="B3" s="1"/>
      <c r="C3" s="1"/>
      <c r="D3" s="1"/>
      <c r="E3" s="1"/>
      <c r="F3" s="5"/>
      <c r="G3" s="5"/>
      <c r="H3" s="5"/>
      <c r="I3" s="5"/>
      <c r="J3" s="5"/>
      <c r="K3" s="5"/>
      <c r="L3" s="5"/>
      <c r="M3" s="5"/>
      <c r="N3" s="5"/>
      <c r="O3" s="5"/>
      <c r="P3" s="5"/>
      <c r="Q3" s="5"/>
      <c r="R3" s="5"/>
      <c r="S3" s="5"/>
      <c r="T3" s="5"/>
      <c r="U3" s="5"/>
      <c r="V3" s="5"/>
      <c r="W3" s="5"/>
      <c r="X3" s="5"/>
      <c r="Y3" s="5"/>
      <c r="Z3" s="5"/>
      <c r="AA3" s="5"/>
    </row>
    <row r="4">
      <c r="A4" s="1"/>
      <c r="B4" s="1"/>
      <c r="C4" s="1"/>
      <c r="D4" s="1"/>
      <c r="E4" s="1"/>
      <c r="F4" s="5"/>
      <c r="G4" s="5"/>
      <c r="H4" s="5"/>
      <c r="I4" s="5"/>
      <c r="J4" s="5"/>
      <c r="K4" s="5"/>
      <c r="L4" s="5"/>
      <c r="M4" s="5"/>
      <c r="N4" s="5"/>
      <c r="O4" s="5"/>
      <c r="P4" s="5"/>
      <c r="Q4" s="5"/>
      <c r="R4" s="5"/>
      <c r="S4" s="5"/>
      <c r="T4" s="5"/>
      <c r="U4" s="5"/>
      <c r="V4" s="5"/>
      <c r="W4" s="5"/>
      <c r="X4" s="5"/>
      <c r="Y4" s="5"/>
      <c r="Z4" s="5"/>
      <c r="AA4" s="5"/>
    </row>
    <row r="5">
      <c r="A5" s="1"/>
      <c r="B5" s="1"/>
      <c r="C5" s="1"/>
      <c r="D5" s="1"/>
      <c r="E5" s="1"/>
      <c r="F5" s="5"/>
      <c r="G5" s="5"/>
      <c r="H5" s="5"/>
      <c r="I5" s="5"/>
      <c r="J5" s="5"/>
      <c r="K5" s="5"/>
      <c r="L5" s="5"/>
      <c r="M5" s="5"/>
      <c r="N5" s="5"/>
      <c r="O5" s="5"/>
      <c r="P5" s="5"/>
      <c r="Q5" s="5"/>
      <c r="R5" s="5"/>
      <c r="S5" s="5"/>
      <c r="T5" s="5"/>
      <c r="U5" s="5"/>
      <c r="V5" s="5"/>
      <c r="W5" s="5"/>
      <c r="X5" s="5"/>
      <c r="Y5" s="5"/>
      <c r="Z5" s="5"/>
      <c r="AA5" s="5"/>
    </row>
    <row r="6">
      <c r="A6" s="1"/>
      <c r="B6" s="1"/>
      <c r="C6" s="1"/>
      <c r="D6" s="1"/>
      <c r="E6" s="1"/>
      <c r="F6" s="5"/>
      <c r="G6" s="5"/>
      <c r="H6" s="5"/>
      <c r="I6" s="5"/>
      <c r="J6" s="5"/>
      <c r="K6" s="5"/>
      <c r="L6" s="5"/>
      <c r="M6" s="5"/>
      <c r="N6" s="5"/>
      <c r="O6" s="5"/>
      <c r="P6" s="5"/>
      <c r="Q6" s="5"/>
      <c r="R6" s="5"/>
      <c r="S6" s="5"/>
      <c r="T6" s="5"/>
      <c r="U6" s="5"/>
      <c r="V6" s="5"/>
      <c r="W6" s="5"/>
      <c r="X6" s="5"/>
      <c r="Y6" s="5"/>
      <c r="Z6" s="5"/>
      <c r="AA6" s="5"/>
    </row>
    <row r="7">
      <c r="A7" s="1"/>
      <c r="B7" s="1"/>
      <c r="C7" s="1"/>
      <c r="D7" s="1"/>
      <c r="E7" s="1"/>
      <c r="F7" s="5"/>
      <c r="G7" s="5"/>
      <c r="H7" s="5"/>
      <c r="I7" s="5"/>
      <c r="J7" s="5"/>
      <c r="K7" s="5"/>
      <c r="L7" s="5"/>
      <c r="M7" s="5"/>
      <c r="N7" s="5"/>
      <c r="O7" s="5"/>
      <c r="P7" s="5"/>
      <c r="Q7" s="5"/>
      <c r="R7" s="5"/>
      <c r="S7" s="5"/>
      <c r="T7" s="5"/>
      <c r="U7" s="5"/>
      <c r="V7" s="5"/>
      <c r="W7" s="5"/>
      <c r="X7" s="5"/>
      <c r="Y7" s="5"/>
      <c r="Z7" s="5"/>
      <c r="AA7" s="5"/>
    </row>
    <row r="8">
      <c r="A8" s="1"/>
      <c r="B8" s="1"/>
      <c r="C8" s="1"/>
      <c r="D8" s="1"/>
      <c r="E8" s="1"/>
      <c r="F8" s="5"/>
      <c r="G8" s="5"/>
      <c r="H8" s="5"/>
      <c r="I8" s="5"/>
      <c r="J8" s="5"/>
      <c r="K8" s="5"/>
      <c r="L8" s="5"/>
      <c r="M8" s="5"/>
      <c r="N8" s="5"/>
      <c r="O8" s="5"/>
      <c r="P8" s="5"/>
      <c r="Q8" s="5"/>
      <c r="R8" s="5"/>
      <c r="S8" s="5"/>
      <c r="T8" s="5"/>
      <c r="U8" s="5"/>
      <c r="V8" s="5"/>
      <c r="W8" s="5"/>
      <c r="X8" s="5"/>
      <c r="Y8" s="5"/>
      <c r="Z8" s="5"/>
      <c r="AA8" s="5"/>
    </row>
    <row r="9">
      <c r="A9" s="1"/>
      <c r="B9" s="1"/>
      <c r="C9" s="1"/>
      <c r="D9" s="1"/>
      <c r="E9" s="1"/>
      <c r="F9" s="5"/>
      <c r="G9" s="5"/>
      <c r="H9" s="5"/>
      <c r="I9" s="5"/>
      <c r="J9" s="5"/>
      <c r="K9" s="5"/>
      <c r="L9" s="5"/>
      <c r="M9" s="5"/>
      <c r="N9" s="5"/>
      <c r="O9" s="5"/>
      <c r="P9" s="5"/>
      <c r="Q9" s="5"/>
      <c r="R9" s="5"/>
      <c r="S9" s="5"/>
      <c r="T9" s="5"/>
      <c r="U9" s="5"/>
      <c r="V9" s="5"/>
      <c r="W9" s="5"/>
      <c r="X9" s="5"/>
      <c r="Y9" s="5"/>
      <c r="Z9" s="5"/>
      <c r="AA9" s="5"/>
    </row>
    <row r="10">
      <c r="A10" s="1"/>
      <c r="B10" s="1"/>
      <c r="C10" s="1"/>
      <c r="D10" s="1"/>
      <c r="E10" s="1"/>
      <c r="F10" s="5"/>
      <c r="G10" s="5"/>
      <c r="H10" s="5"/>
      <c r="I10" s="5"/>
      <c r="J10" s="5"/>
      <c r="K10" s="5"/>
      <c r="L10" s="5"/>
      <c r="M10" s="5"/>
      <c r="N10" s="5"/>
      <c r="O10" s="5"/>
      <c r="P10" s="5"/>
      <c r="Q10" s="5"/>
      <c r="R10" s="5"/>
      <c r="S10" s="5"/>
      <c r="T10" s="5"/>
      <c r="U10" s="5"/>
      <c r="V10" s="5"/>
      <c r="W10" s="5"/>
      <c r="X10" s="5"/>
      <c r="Y10" s="5"/>
      <c r="Z10" s="5"/>
      <c r="AA10" s="5"/>
    </row>
    <row r="11">
      <c r="A11" s="1"/>
      <c r="B11" s="1"/>
      <c r="C11" s="1"/>
      <c r="D11" s="1"/>
      <c r="E11" s="1"/>
      <c r="F11" s="5"/>
      <c r="G11" s="5"/>
      <c r="H11" s="5"/>
      <c r="I11" s="5"/>
      <c r="J11" s="5"/>
      <c r="K11" s="5"/>
      <c r="L11" s="5"/>
      <c r="M11" s="5"/>
      <c r="N11" s="5"/>
      <c r="O11" s="5"/>
      <c r="P11" s="5"/>
      <c r="Q11" s="5"/>
      <c r="R11" s="5"/>
      <c r="S11" s="5"/>
      <c r="T11" s="5"/>
      <c r="U11" s="5"/>
      <c r="V11" s="5"/>
      <c r="W11" s="5"/>
      <c r="X11" s="5"/>
      <c r="Y11" s="5"/>
      <c r="Z11" s="5"/>
      <c r="AA11" s="5"/>
    </row>
    <row r="12">
      <c r="A12" s="1"/>
      <c r="B12" s="1"/>
      <c r="C12" s="1"/>
      <c r="D12" s="1"/>
      <c r="E12" s="1"/>
      <c r="F12" s="5"/>
      <c r="G12" s="5"/>
      <c r="H12" s="5"/>
      <c r="I12" s="5"/>
      <c r="J12" s="5"/>
      <c r="K12" s="5"/>
      <c r="L12" s="5"/>
      <c r="M12" s="5"/>
      <c r="N12" s="5"/>
      <c r="O12" s="5"/>
      <c r="P12" s="5"/>
      <c r="Q12" s="5"/>
      <c r="R12" s="5"/>
      <c r="S12" s="5"/>
      <c r="T12" s="5"/>
      <c r="U12" s="5"/>
      <c r="V12" s="5"/>
      <c r="W12" s="5"/>
      <c r="X12" s="5"/>
      <c r="Y12" s="5"/>
      <c r="Z12" s="5"/>
      <c r="AA12" s="5"/>
    </row>
    <row r="13">
      <c r="A13" s="1" t="s">
        <v>3425</v>
      </c>
      <c r="B13" s="1" t="s">
        <v>3426</v>
      </c>
      <c r="C13" s="1" t="s">
        <v>3427</v>
      </c>
      <c r="D13" s="1" t="s">
        <v>3428</v>
      </c>
      <c r="E13" s="1" t="s">
        <v>3280</v>
      </c>
      <c r="F13" s="5"/>
      <c r="G13" s="5"/>
      <c r="H13" s="5"/>
      <c r="I13" s="5"/>
      <c r="J13" s="5"/>
      <c r="K13" s="5"/>
      <c r="L13" s="5"/>
      <c r="M13" s="5"/>
      <c r="N13" s="5"/>
      <c r="O13" s="5"/>
      <c r="P13" s="5"/>
      <c r="Q13" s="5"/>
      <c r="R13" s="5"/>
      <c r="S13" s="5"/>
      <c r="T13" s="5"/>
      <c r="U13" s="5"/>
      <c r="V13" s="5"/>
      <c r="W13" s="5"/>
      <c r="X13" s="5"/>
      <c r="Y13" s="5"/>
      <c r="Z13" s="5"/>
      <c r="AA13" s="5"/>
    </row>
    <row r="14">
      <c r="A14" s="7" t="s">
        <v>16</v>
      </c>
      <c r="B14" s="7">
        <v>1692.0</v>
      </c>
      <c r="C14" s="7">
        <v>1730.0</v>
      </c>
      <c r="D14" s="7">
        <f t="shared" ref="D14:D25" si="1"> C14-B14</f>
        <v>38</v>
      </c>
      <c r="E14" s="7" t="s">
        <v>3429</v>
      </c>
    </row>
    <row r="15">
      <c r="A15" s="7" t="s">
        <v>75</v>
      </c>
      <c r="B15" s="7">
        <v>1689.0</v>
      </c>
      <c r="C15" s="7">
        <v>1710.0</v>
      </c>
      <c r="D15" s="7">
        <f t="shared" si="1"/>
        <v>21</v>
      </c>
      <c r="E15" s="7" t="s">
        <v>3430</v>
      </c>
    </row>
    <row r="16">
      <c r="A16" s="7" t="s">
        <v>155</v>
      </c>
      <c r="B16" s="7">
        <v>1660.0</v>
      </c>
      <c r="C16" s="7">
        <v>1688.0</v>
      </c>
      <c r="D16" s="7">
        <f t="shared" si="1"/>
        <v>28</v>
      </c>
      <c r="E16" s="7" t="s">
        <v>3431</v>
      </c>
    </row>
    <row r="17">
      <c r="A17" s="7" t="s">
        <v>237</v>
      </c>
      <c r="B17" s="7">
        <v>1712.0</v>
      </c>
      <c r="C17" s="7">
        <v>1812.0</v>
      </c>
      <c r="D17" s="7">
        <f t="shared" si="1"/>
        <v>100</v>
      </c>
      <c r="E17" s="7" t="s">
        <v>3432</v>
      </c>
    </row>
    <row r="18">
      <c r="A18" s="7" t="s">
        <v>3433</v>
      </c>
      <c r="B18" s="7">
        <v>1688.0</v>
      </c>
      <c r="C18" s="7">
        <v>1706.0</v>
      </c>
      <c r="D18" s="7">
        <f t="shared" si="1"/>
        <v>18</v>
      </c>
      <c r="E18" s="7" t="s">
        <v>3434</v>
      </c>
    </row>
    <row r="19">
      <c r="A19" s="7" t="s">
        <v>3435</v>
      </c>
      <c r="B19" s="7">
        <v>1707.0</v>
      </c>
      <c r="C19" s="7">
        <v>1718.0</v>
      </c>
      <c r="D19" s="7">
        <f t="shared" si="1"/>
        <v>11</v>
      </c>
      <c r="E19" s="7" t="s">
        <v>3436</v>
      </c>
    </row>
    <row r="20">
      <c r="A20" s="7" t="s">
        <v>3437</v>
      </c>
      <c r="B20" s="7">
        <v>1719.0</v>
      </c>
      <c r="C20" s="7">
        <v>1761.0</v>
      </c>
      <c r="D20" s="7">
        <f t="shared" si="1"/>
        <v>42</v>
      </c>
      <c r="E20" s="7" t="s">
        <v>3438</v>
      </c>
    </row>
    <row r="21">
      <c r="A21" s="7" t="s">
        <v>1102</v>
      </c>
      <c r="B21" s="7">
        <v>1618.0</v>
      </c>
      <c r="C21" s="7">
        <v>1648.0</v>
      </c>
      <c r="D21" s="7">
        <f t="shared" si="1"/>
        <v>30</v>
      </c>
      <c r="E21" s="7" t="s">
        <v>3439</v>
      </c>
    </row>
    <row r="22">
      <c r="A22" s="7" t="s">
        <v>3440</v>
      </c>
      <c r="B22" s="7">
        <v>1672.0</v>
      </c>
      <c r="C22" s="7">
        <v>1678.0</v>
      </c>
      <c r="D22" s="7">
        <f t="shared" si="1"/>
        <v>6</v>
      </c>
      <c r="E22" s="7" t="s">
        <v>3441</v>
      </c>
    </row>
    <row r="23">
      <c r="A23" s="7" t="s">
        <v>3442</v>
      </c>
      <c r="B23" s="7">
        <v>1688.0</v>
      </c>
      <c r="C23" s="7">
        <v>1697.0</v>
      </c>
      <c r="D23" s="7">
        <f t="shared" si="1"/>
        <v>9</v>
      </c>
      <c r="E23" s="7" t="s">
        <v>3443</v>
      </c>
    </row>
    <row r="24">
      <c r="A24" s="7" t="s">
        <v>3444</v>
      </c>
      <c r="B24" s="7">
        <v>1701.0</v>
      </c>
      <c r="C24" s="7">
        <v>1714.0</v>
      </c>
      <c r="D24" s="7">
        <f t="shared" si="1"/>
        <v>13</v>
      </c>
      <c r="E24" s="7" t="s">
        <v>3445</v>
      </c>
    </row>
    <row r="25">
      <c r="A25" s="7" t="s">
        <v>3446</v>
      </c>
      <c r="B25" s="7">
        <v>1700.0</v>
      </c>
      <c r="C25" s="7">
        <v>1721.0</v>
      </c>
      <c r="D25" s="7">
        <f t="shared" si="1"/>
        <v>21</v>
      </c>
      <c r="E25" s="7" t="s">
        <v>3447</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0" t="s">
        <v>3426</v>
      </c>
      <c r="B1" s="300" t="s">
        <v>3427</v>
      </c>
      <c r="C1" s="300" t="s">
        <v>3448</v>
      </c>
      <c r="D1" s="301"/>
      <c r="E1" s="235" t="s">
        <v>514</v>
      </c>
      <c r="F1" s="235" t="s">
        <v>531</v>
      </c>
      <c r="G1" s="235" t="s">
        <v>550</v>
      </c>
      <c r="H1" s="235" t="s">
        <v>437</v>
      </c>
      <c r="I1" s="235" t="s">
        <v>457</v>
      </c>
      <c r="J1" s="235" t="s">
        <v>476</v>
      </c>
      <c r="K1" s="236" t="s">
        <v>494</v>
      </c>
      <c r="L1" s="301"/>
    </row>
    <row r="2">
      <c r="A2" s="175"/>
      <c r="B2" s="175"/>
      <c r="C2" s="175"/>
      <c r="D2" s="175"/>
      <c r="E2" s="261"/>
      <c r="F2" s="261"/>
      <c r="G2" s="261"/>
      <c r="H2" s="261"/>
      <c r="I2" s="261"/>
      <c r="J2" s="261"/>
      <c r="K2" s="302"/>
      <c r="L2" s="175"/>
    </row>
    <row r="3">
      <c r="A3" s="303">
        <v>0.08333333333333333</v>
      </c>
      <c r="B3" s="303">
        <v>0.20833333333333334</v>
      </c>
      <c r="C3" s="304">
        <v>0.0</v>
      </c>
      <c r="D3" s="305" t="s">
        <v>3449</v>
      </c>
      <c r="E3" s="304">
        <v>0.0</v>
      </c>
      <c r="F3" s="304">
        <v>0.0</v>
      </c>
      <c r="G3" s="304">
        <v>0.0</v>
      </c>
      <c r="H3" s="304">
        <v>0.0</v>
      </c>
      <c r="I3" s="304">
        <v>0.0</v>
      </c>
      <c r="J3" s="175"/>
      <c r="K3" s="304">
        <v>0.0</v>
      </c>
      <c r="L3" s="175"/>
    </row>
    <row r="4">
      <c r="A4" s="303">
        <v>0.20833333333333334</v>
      </c>
      <c r="B4" s="303">
        <v>0.3333333333333333</v>
      </c>
      <c r="C4" s="304">
        <v>15.0</v>
      </c>
      <c r="D4" s="305" t="s">
        <v>3450</v>
      </c>
      <c r="E4" s="304">
        <v>15.0</v>
      </c>
      <c r="F4" s="304">
        <v>15.0</v>
      </c>
      <c r="G4" s="304">
        <v>15.0</v>
      </c>
      <c r="H4" s="304">
        <v>15.0</v>
      </c>
      <c r="I4" s="304">
        <v>15.0</v>
      </c>
      <c r="J4" s="175"/>
      <c r="K4" s="304">
        <v>15.0</v>
      </c>
      <c r="L4" s="175"/>
    </row>
    <row r="5">
      <c r="A5" s="303">
        <v>0.3333333333333333</v>
      </c>
      <c r="B5" s="303">
        <v>0.3645833333333333</v>
      </c>
      <c r="C5" s="304">
        <v>0.0</v>
      </c>
      <c r="D5" s="305" t="s">
        <v>3451</v>
      </c>
      <c r="E5" s="304">
        <v>0.0</v>
      </c>
      <c r="F5" s="304">
        <v>0.0</v>
      </c>
      <c r="G5" s="304">
        <v>0.0</v>
      </c>
      <c r="H5" s="304">
        <v>0.0</v>
      </c>
      <c r="I5" s="304">
        <v>0.0</v>
      </c>
      <c r="J5" s="175"/>
      <c r="K5" s="304">
        <v>0.0</v>
      </c>
      <c r="L5" s="175"/>
    </row>
    <row r="6">
      <c r="A6" s="303">
        <v>0.3611111111111111</v>
      </c>
      <c r="B6" s="303">
        <v>0.375</v>
      </c>
      <c r="C6" s="304">
        <v>10.0</v>
      </c>
      <c r="D6" s="305" t="s">
        <v>3452</v>
      </c>
      <c r="E6" s="304">
        <v>10.0</v>
      </c>
      <c r="F6" s="304">
        <v>10.0</v>
      </c>
      <c r="G6" s="304">
        <v>10.0</v>
      </c>
      <c r="H6" s="304">
        <v>10.0</v>
      </c>
      <c r="I6" s="304">
        <v>10.0</v>
      </c>
      <c r="J6" s="175"/>
      <c r="K6" s="304">
        <v>10.0</v>
      </c>
      <c r="L6" s="175"/>
    </row>
    <row r="7">
      <c r="A7" s="303">
        <v>0.375</v>
      </c>
      <c r="B7" s="303">
        <v>0.3854166666666667</v>
      </c>
      <c r="C7" s="304">
        <v>0.0</v>
      </c>
      <c r="D7" s="305" t="s">
        <v>3453</v>
      </c>
      <c r="E7" s="304">
        <v>0.0</v>
      </c>
      <c r="F7" s="304">
        <v>0.0</v>
      </c>
      <c r="G7" s="304">
        <v>0.0</v>
      </c>
      <c r="H7" s="304">
        <v>0.0</v>
      </c>
      <c r="I7" s="304">
        <v>0.0</v>
      </c>
      <c r="J7" s="175"/>
      <c r="K7" s="304">
        <v>0.0</v>
      </c>
      <c r="L7" s="175"/>
    </row>
    <row r="8">
      <c r="A8" s="303">
        <v>0.3854166666666667</v>
      </c>
      <c r="B8" s="303">
        <v>0.5</v>
      </c>
      <c r="C8" s="304">
        <v>0.0</v>
      </c>
      <c r="D8" s="305" t="s">
        <v>3454</v>
      </c>
      <c r="E8" s="304">
        <v>0.0</v>
      </c>
      <c r="F8" s="304">
        <v>0.0</v>
      </c>
      <c r="G8" s="304">
        <v>0.0</v>
      </c>
      <c r="H8" s="304">
        <v>0.0</v>
      </c>
      <c r="I8" s="304">
        <v>0.0</v>
      </c>
      <c r="J8" s="175"/>
      <c r="K8" s="304">
        <v>0.0</v>
      </c>
      <c r="L8" s="175"/>
    </row>
    <row r="9">
      <c r="A9" s="303">
        <v>0.5</v>
      </c>
      <c r="B9" s="303">
        <v>0.7083333333333334</v>
      </c>
      <c r="C9" s="304">
        <v>0.0</v>
      </c>
      <c r="D9" s="305" t="s">
        <v>3449</v>
      </c>
      <c r="E9" s="304">
        <v>0.0</v>
      </c>
      <c r="F9" s="304">
        <v>0.0</v>
      </c>
      <c r="G9" s="304">
        <v>0.0</v>
      </c>
      <c r="H9" s="304">
        <v>0.0</v>
      </c>
      <c r="I9" s="304">
        <v>0.0</v>
      </c>
      <c r="J9" s="175"/>
      <c r="K9" s="304">
        <v>0.0</v>
      </c>
      <c r="L9" s="175"/>
    </row>
    <row r="10">
      <c r="A10" s="303">
        <v>0.7083333333333334</v>
      </c>
      <c r="B10" s="303">
        <v>0.75</v>
      </c>
      <c r="C10" s="304">
        <v>0.0</v>
      </c>
      <c r="D10" s="305" t="s">
        <v>3455</v>
      </c>
      <c r="E10" s="304">
        <v>0.0</v>
      </c>
      <c r="F10" s="304">
        <v>0.0</v>
      </c>
      <c r="G10" s="304">
        <v>0.0</v>
      </c>
      <c r="H10" s="304">
        <v>0.0</v>
      </c>
      <c r="I10" s="304">
        <v>0.0</v>
      </c>
      <c r="J10" s="175"/>
      <c r="K10" s="304">
        <v>0.0</v>
      </c>
      <c r="L10" s="175"/>
    </row>
    <row r="11">
      <c r="A11" s="303">
        <v>0.75</v>
      </c>
      <c r="B11" s="303">
        <v>0.7916666666666666</v>
      </c>
      <c r="C11" s="304">
        <v>2.0</v>
      </c>
      <c r="D11" s="305" t="s">
        <v>3456</v>
      </c>
      <c r="E11" s="304">
        <v>2.0</v>
      </c>
      <c r="F11" s="304">
        <v>2.0</v>
      </c>
      <c r="G11" s="304">
        <v>2.0</v>
      </c>
      <c r="H11" s="304">
        <v>2.0</v>
      </c>
      <c r="I11" s="304">
        <v>2.0</v>
      </c>
      <c r="J11" s="175"/>
      <c r="K11" s="304">
        <v>2.0</v>
      </c>
      <c r="L11" s="175"/>
    </row>
    <row r="12">
      <c r="A12" s="306">
        <v>0.7916666666666666</v>
      </c>
      <c r="B12" s="306">
        <v>0.08333333333333333</v>
      </c>
      <c r="C12" s="304">
        <v>30.0</v>
      </c>
      <c r="D12" s="305" t="s">
        <v>3457</v>
      </c>
      <c r="E12" s="304">
        <v>30.0</v>
      </c>
      <c r="F12" s="304">
        <v>30.0</v>
      </c>
      <c r="G12" s="304">
        <v>30.0</v>
      </c>
      <c r="H12" s="304">
        <v>30.0</v>
      </c>
      <c r="I12" s="304">
        <v>30.0</v>
      </c>
      <c r="J12" s="175"/>
      <c r="K12" s="175"/>
      <c r="L12" s="175"/>
    </row>
    <row r="13">
      <c r="A13" s="303">
        <v>0.7916666666666666</v>
      </c>
      <c r="B13" s="303">
        <v>0.8333333333333334</v>
      </c>
      <c r="C13" s="304">
        <v>0.0</v>
      </c>
      <c r="D13" s="305" t="s">
        <v>3458</v>
      </c>
      <c r="E13" s="175"/>
      <c r="F13" s="175"/>
      <c r="G13" s="175"/>
      <c r="H13" s="175"/>
      <c r="I13" s="175"/>
      <c r="J13" s="175"/>
      <c r="K13" s="304">
        <v>0.0</v>
      </c>
      <c r="L13" s="175"/>
    </row>
    <row r="14">
      <c r="A14" s="303">
        <v>0.8333333333333334</v>
      </c>
      <c r="B14" s="303">
        <v>0.875</v>
      </c>
      <c r="C14" s="304">
        <v>0.0</v>
      </c>
      <c r="D14" s="305" t="s">
        <v>3459</v>
      </c>
      <c r="E14" s="175"/>
      <c r="F14" s="175"/>
      <c r="G14" s="175"/>
      <c r="H14" s="175"/>
      <c r="I14" s="175"/>
      <c r="J14" s="175"/>
      <c r="K14" s="304">
        <v>0.0</v>
      </c>
      <c r="L14" s="175"/>
    </row>
    <row r="15">
      <c r="A15" s="303">
        <v>0.875</v>
      </c>
      <c r="B15" s="303">
        <v>0.08333333333333333</v>
      </c>
      <c r="C15" s="304">
        <v>150.0</v>
      </c>
      <c r="D15" s="305" t="s">
        <v>3460</v>
      </c>
      <c r="E15" s="175"/>
      <c r="F15" s="175"/>
      <c r="G15" s="175"/>
      <c r="H15" s="175"/>
      <c r="I15" s="175"/>
      <c r="J15" s="175"/>
      <c r="K15" s="304">
        <v>150.0</v>
      </c>
      <c r="L15" s="175"/>
    </row>
    <row r="16">
      <c r="A16" s="175"/>
      <c r="B16" s="175"/>
      <c r="C16" s="175"/>
      <c r="D16" s="175"/>
      <c r="E16" s="261"/>
      <c r="F16" s="261"/>
      <c r="G16" s="261"/>
      <c r="H16" s="261"/>
      <c r="I16" s="261"/>
      <c r="J16" s="261"/>
      <c r="K16" s="302"/>
      <c r="L16" s="175"/>
    </row>
    <row r="17">
      <c r="A17" s="175"/>
      <c r="B17" s="175"/>
      <c r="C17" s="175"/>
      <c r="D17" s="175"/>
      <c r="E17" s="261"/>
      <c r="F17" s="261"/>
      <c r="G17" s="261"/>
      <c r="H17" s="261"/>
      <c r="I17" s="261"/>
      <c r="J17" s="261"/>
      <c r="K17" s="302"/>
      <c r="L17" s="175"/>
    </row>
    <row r="18">
      <c r="A18" s="175"/>
      <c r="B18" s="175"/>
      <c r="C18" s="175"/>
      <c r="D18" s="175"/>
      <c r="E18" s="261"/>
      <c r="F18" s="261"/>
      <c r="G18" s="261"/>
      <c r="H18" s="261"/>
      <c r="I18" s="261"/>
      <c r="J18" s="261"/>
      <c r="K18" s="302"/>
      <c r="L18" s="175"/>
    </row>
    <row r="19">
      <c r="A19" s="175"/>
      <c r="B19" s="175"/>
      <c r="C19" s="175"/>
      <c r="D19" s="175"/>
      <c r="E19" s="261"/>
      <c r="F19" s="261"/>
      <c r="G19" s="261"/>
      <c r="H19" s="261"/>
      <c r="I19" s="261"/>
      <c r="J19" s="261"/>
      <c r="K19" s="302"/>
      <c r="L19" s="175"/>
    </row>
    <row r="20">
      <c r="A20" s="175"/>
      <c r="B20" s="175"/>
      <c r="C20" s="175"/>
      <c r="D20" s="175"/>
      <c r="E20" s="180"/>
      <c r="F20" s="180"/>
      <c r="G20" s="180"/>
      <c r="H20" s="180"/>
      <c r="I20" s="180"/>
      <c r="J20" s="180"/>
      <c r="K20" s="239"/>
      <c r="L20" s="175"/>
    </row>
    <row r="21">
      <c r="A21" s="175"/>
      <c r="B21" s="175"/>
      <c r="C21" s="175"/>
      <c r="D21" s="175"/>
      <c r="E21" s="304">
        <v>57.0</v>
      </c>
      <c r="F21" s="304">
        <v>57.0</v>
      </c>
      <c r="G21" s="304">
        <v>57.0</v>
      </c>
      <c r="H21" s="304">
        <v>57.0</v>
      </c>
      <c r="I21" s="304">
        <v>57.0</v>
      </c>
      <c r="J21" s="304">
        <v>0.0</v>
      </c>
      <c r="K21" s="304">
        <v>177.0</v>
      </c>
      <c r="L21" s="304">
        <v>462.0</v>
      </c>
    </row>
    <row r="22">
      <c r="A22" s="175"/>
      <c r="B22" s="175"/>
      <c r="C22" s="175"/>
      <c r="D22" s="175"/>
      <c r="E22" s="175"/>
      <c r="F22" s="175"/>
      <c r="G22" s="175"/>
      <c r="H22" s="175"/>
      <c r="I22" s="175"/>
      <c r="J22" s="175"/>
      <c r="K22" s="253"/>
      <c r="L22" s="175"/>
    </row>
    <row r="23">
      <c r="A23" s="175"/>
      <c r="B23" s="175"/>
      <c r="C23" s="175"/>
      <c r="D23" s="175"/>
      <c r="E23" s="175"/>
      <c r="F23" s="175"/>
      <c r="G23" s="175"/>
      <c r="H23" s="175"/>
      <c r="I23" s="175"/>
      <c r="J23" s="175"/>
      <c r="K23" s="253"/>
      <c r="L23" s="175"/>
    </row>
    <row r="24">
      <c r="A24" s="175"/>
      <c r="B24" s="175"/>
      <c r="C24" s="175"/>
      <c r="D24" s="175"/>
      <c r="E24" s="307" t="s">
        <v>3461</v>
      </c>
      <c r="F24" s="175"/>
      <c r="G24" s="175"/>
      <c r="H24" s="307" t="s">
        <v>3462</v>
      </c>
      <c r="I24" s="175"/>
      <c r="J24" s="175"/>
      <c r="K24" s="253"/>
      <c r="L24" s="175"/>
    </row>
    <row r="25">
      <c r="A25" s="175"/>
      <c r="B25" s="175"/>
      <c r="C25" s="175"/>
      <c r="D25" s="175"/>
      <c r="E25" s="262" t="s">
        <v>3463</v>
      </c>
      <c r="F25" s="308">
        <v>0.010416666666666666</v>
      </c>
      <c r="G25" s="175"/>
      <c r="H25" s="262" t="s">
        <v>3463</v>
      </c>
      <c r="I25" s="308">
        <v>0.001388888888888889</v>
      </c>
      <c r="J25" s="175"/>
      <c r="K25" s="253"/>
      <c r="L25" s="175"/>
    </row>
    <row r="26">
      <c r="A26" s="175"/>
      <c r="B26" s="175"/>
      <c r="C26" s="175"/>
      <c r="D26" s="175"/>
      <c r="E26" s="262" t="s">
        <v>3464</v>
      </c>
      <c r="F26" s="308">
        <v>0.003472222222222222</v>
      </c>
      <c r="G26" s="175"/>
      <c r="H26" s="262" t="s">
        <v>3464</v>
      </c>
      <c r="I26" s="308">
        <v>0.0</v>
      </c>
      <c r="J26" s="175"/>
      <c r="K26" s="253"/>
      <c r="L26" s="175"/>
    </row>
    <row r="27">
      <c r="A27" s="175"/>
      <c r="B27" s="175"/>
      <c r="C27" s="175"/>
      <c r="D27" s="175"/>
      <c r="E27" s="175"/>
      <c r="F27" s="175"/>
      <c r="G27" s="175"/>
      <c r="H27" s="175"/>
      <c r="I27" s="175"/>
      <c r="J27" s="175"/>
      <c r="K27" s="253"/>
      <c r="L27" s="175"/>
    </row>
    <row r="28">
      <c r="A28" s="175"/>
      <c r="B28" s="175"/>
      <c r="C28" s="175"/>
      <c r="D28" s="175"/>
      <c r="E28" s="175"/>
      <c r="F28" s="175"/>
      <c r="G28" s="175"/>
      <c r="H28" s="175"/>
      <c r="I28" s="175"/>
      <c r="J28" s="175"/>
      <c r="K28" s="253"/>
      <c r="L28" s="175"/>
    </row>
    <row r="29">
      <c r="A29" s="175"/>
      <c r="B29" s="175"/>
      <c r="C29" s="175"/>
      <c r="D29" s="175"/>
      <c r="E29" s="262" t="s">
        <v>3465</v>
      </c>
      <c r="F29" s="304">
        <v>10.0</v>
      </c>
      <c r="G29" s="175"/>
      <c r="H29" s="262" t="s">
        <v>3466</v>
      </c>
      <c r="I29" s="304" t="s">
        <v>3467</v>
      </c>
      <c r="J29" s="175"/>
      <c r="K29" s="253"/>
      <c r="L29" s="175"/>
    </row>
    <row r="30">
      <c r="A30" s="175"/>
      <c r="B30" s="175"/>
      <c r="C30" s="175"/>
      <c r="D30" s="175"/>
      <c r="E30" s="262" t="s">
        <v>3468</v>
      </c>
      <c r="F30" s="309">
        <v>2.5974025974E10</v>
      </c>
      <c r="G30" s="175"/>
      <c r="H30" s="262" t="s">
        <v>3469</v>
      </c>
      <c r="I30" s="304">
        <v>3.0</v>
      </c>
      <c r="J30" s="175"/>
      <c r="K30" s="253"/>
      <c r="L30" s="175"/>
    </row>
    <row r="31">
      <c r="A31" s="175"/>
      <c r="B31" s="175"/>
      <c r="C31" s="175"/>
      <c r="D31" s="175"/>
      <c r="E31" s="175"/>
      <c r="F31" s="175"/>
      <c r="G31" s="175"/>
      <c r="H31" s="175"/>
      <c r="I31" s="175"/>
      <c r="J31" s="175"/>
      <c r="K31" s="253"/>
      <c r="L31" s="175"/>
    </row>
    <row r="32">
      <c r="A32" s="175"/>
      <c r="B32" s="175"/>
      <c r="C32" s="175"/>
      <c r="D32" s="175"/>
      <c r="E32" s="175"/>
      <c r="F32" s="262" t="s">
        <v>3470</v>
      </c>
      <c r="G32" s="175"/>
      <c r="H32" s="175"/>
      <c r="I32" s="175"/>
      <c r="J32" s="175"/>
      <c r="K32" s="253"/>
      <c r="L32" s="175"/>
    </row>
    <row r="33">
      <c r="A33" s="175"/>
      <c r="B33" s="175"/>
      <c r="C33" s="175"/>
      <c r="D33" s="175"/>
      <c r="E33" s="262" t="s">
        <v>506</v>
      </c>
      <c r="F33" s="304">
        <v>800.0</v>
      </c>
      <c r="G33" s="175"/>
      <c r="H33" s="175"/>
      <c r="I33" s="175"/>
      <c r="J33" s="175"/>
      <c r="K33" s="253"/>
      <c r="L33" s="175"/>
    </row>
    <row r="34">
      <c r="A34" s="175"/>
      <c r="B34" s="175"/>
      <c r="C34" s="175"/>
      <c r="D34" s="175"/>
      <c r="E34" s="175"/>
      <c r="F34" s="175"/>
      <c r="G34" s="175"/>
      <c r="H34" s="175"/>
      <c r="I34" s="175"/>
      <c r="J34" s="175"/>
      <c r="K34" s="253"/>
      <c r="L34" s="175"/>
    </row>
    <row r="35">
      <c r="A35" s="175"/>
      <c r="B35" s="175"/>
      <c r="C35" s="175"/>
      <c r="D35" s="175"/>
      <c r="E35" s="262" t="s">
        <v>3471</v>
      </c>
      <c r="F35" s="304">
        <v>16.0</v>
      </c>
      <c r="G35" s="175"/>
      <c r="H35" s="262" t="s">
        <v>3472</v>
      </c>
      <c r="I35" s="304" t="s">
        <v>3473</v>
      </c>
      <c r="J35" s="175"/>
      <c r="K35" s="253"/>
      <c r="L35" s="175"/>
    </row>
    <row r="36">
      <c r="A36" s="175"/>
      <c r="B36" s="175"/>
      <c r="C36" s="175"/>
      <c r="D36" s="175"/>
      <c r="E36" s="262" t="s">
        <v>3474</v>
      </c>
      <c r="F36" s="304">
        <v>28.0</v>
      </c>
      <c r="G36" s="175"/>
      <c r="H36" s="262" t="s">
        <v>3475</v>
      </c>
      <c r="I36" s="304" t="s">
        <v>3476</v>
      </c>
      <c r="J36" s="175"/>
      <c r="K36" s="253"/>
      <c r="L36" s="175"/>
    </row>
    <row r="37">
      <c r="A37" s="175"/>
      <c r="B37" s="175"/>
      <c r="C37" s="175"/>
      <c r="D37" s="175"/>
      <c r="E37" s="310" t="s">
        <v>3477</v>
      </c>
      <c r="F37" s="311">
        <v>44.0</v>
      </c>
      <c r="G37" s="175"/>
      <c r="H37" s="175"/>
      <c r="I37" s="175"/>
      <c r="J37" s="175"/>
      <c r="K37" s="253"/>
      <c r="L37" s="175"/>
    </row>
    <row r="38">
      <c r="A38" s="175"/>
      <c r="B38" s="175"/>
      <c r="C38" s="175"/>
      <c r="D38" s="175"/>
      <c r="E38" s="175"/>
      <c r="F38" s="175"/>
      <c r="G38" s="175"/>
      <c r="H38" s="175"/>
      <c r="I38" s="175"/>
      <c r="J38" s="175"/>
      <c r="K38" s="253"/>
      <c r="L38" s="175"/>
    </row>
    <row r="39">
      <c r="A39" s="175"/>
      <c r="B39" s="175"/>
      <c r="C39" s="175"/>
      <c r="D39" s="175"/>
      <c r="E39" s="175"/>
      <c r="F39" s="175"/>
      <c r="G39" s="175"/>
      <c r="H39" s="175"/>
      <c r="I39" s="175"/>
      <c r="J39" s="175"/>
      <c r="K39" s="253"/>
      <c r="L39" s="175"/>
    </row>
    <row r="40">
      <c r="A40" s="175"/>
      <c r="B40" s="175"/>
      <c r="C40" s="175"/>
      <c r="D40" s="175"/>
      <c r="E40" s="262" t="s">
        <v>195</v>
      </c>
      <c r="F40" s="304">
        <v>1000.0</v>
      </c>
      <c r="G40" s="175"/>
      <c r="H40" s="175"/>
      <c r="I40" s="175"/>
      <c r="J40" s="175"/>
      <c r="K40" s="253"/>
      <c r="L40" s="175"/>
    </row>
  </sheetData>
  <drawing r:id="rId1"/>
</worksheet>
</file>